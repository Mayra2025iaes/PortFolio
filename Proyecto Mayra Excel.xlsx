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B37CA2A4-C770-4E9E-ACB5-DDE862BB241D}" xr6:coauthVersionLast="47" xr6:coauthVersionMax="47" xr10:uidLastSave="{00000000-0000-0000-0000-000000000000}"/>
  <bookViews>
    <workbookView xWindow="-120" yWindow="-120" windowWidth="29040" windowHeight="15720" xr2:uid="{05E8E484-6A61-4AFA-93BC-5D93C4331076}"/>
  </bookViews>
  <sheets>
    <sheet name="Hoja1" sheetId="1" r:id="rId1"/>
    <sheet name="Clasificador de productos" sheetId="2" r:id="rId2"/>
    <sheet name="TABLA DISTR. FRECU." sheetId="3" r:id="rId3"/>
    <sheet name="Hoja3" sheetId="4" r:id="rId4"/>
  </sheets>
  <definedNames>
    <definedName name="_xlnm._FilterDatabase" localSheetId="0" hidden="1">Hoja1!$A$1:$L$125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C4" i="1"/>
  <c r="C5" i="1"/>
  <c r="C9" i="1"/>
  <c r="C13" i="1"/>
  <c r="C16" i="1"/>
  <c r="C17" i="1"/>
  <c r="D20" i="1"/>
  <c r="C21" i="1"/>
  <c r="C24" i="1"/>
  <c r="C25" i="1"/>
  <c r="D28" i="1"/>
  <c r="C29" i="1"/>
  <c r="D32" i="1"/>
  <c r="C33" i="1"/>
  <c r="D36" i="1"/>
  <c r="C37" i="1"/>
  <c r="D40" i="1"/>
  <c r="C41" i="1"/>
  <c r="D44" i="1"/>
  <c r="C45" i="1"/>
  <c r="D48" i="1"/>
  <c r="C49" i="1"/>
  <c r="D52" i="1"/>
  <c r="C53" i="1"/>
  <c r="D56" i="1"/>
  <c r="C57" i="1"/>
  <c r="D60" i="1"/>
  <c r="C61" i="1"/>
  <c r="D64" i="1"/>
  <c r="C65" i="1"/>
  <c r="D68" i="1"/>
  <c r="C69" i="1"/>
  <c r="D72" i="1"/>
  <c r="C73" i="1"/>
  <c r="D76" i="1"/>
  <c r="C77" i="1"/>
  <c r="D80" i="1"/>
  <c r="C81" i="1"/>
  <c r="D84" i="1"/>
  <c r="C85" i="1"/>
  <c r="D88" i="1"/>
  <c r="C89" i="1"/>
  <c r="D92" i="1"/>
  <c r="C93" i="1"/>
  <c r="D96" i="1"/>
  <c r="C97" i="1"/>
  <c r="D100" i="1"/>
  <c r="C101" i="1"/>
  <c r="D104" i="1"/>
  <c r="C105" i="1"/>
  <c r="D108" i="1"/>
  <c r="C109" i="1"/>
  <c r="D112" i="1"/>
  <c r="C113" i="1"/>
  <c r="D116" i="1"/>
  <c r="C117" i="1"/>
  <c r="D120" i="1"/>
  <c r="C121" i="1"/>
  <c r="D124" i="1"/>
  <c r="C125" i="1"/>
  <c r="M2" i="3"/>
  <c r="G2" i="3" s="1"/>
  <c r="M1" i="3"/>
  <c r="M4" i="3" s="1"/>
  <c r="M6" i="3" s="1"/>
  <c r="C2" i="1"/>
  <c r="C18" i="1"/>
  <c r="C19" i="1"/>
  <c r="C22" i="1"/>
  <c r="C23" i="1"/>
  <c r="C26" i="1"/>
  <c r="C27" i="1"/>
  <c r="D30" i="1"/>
  <c r="C31" i="1"/>
  <c r="C34" i="1"/>
  <c r="C35" i="1"/>
  <c r="C38" i="1"/>
  <c r="C39" i="1"/>
  <c r="C42" i="1"/>
  <c r="C43" i="1"/>
  <c r="C46" i="1"/>
  <c r="C47" i="1"/>
  <c r="C50" i="1"/>
  <c r="C51" i="1"/>
  <c r="C54" i="1"/>
  <c r="C55" i="1"/>
  <c r="C58" i="1"/>
  <c r="C59" i="1"/>
  <c r="C62" i="1"/>
  <c r="C63" i="1"/>
  <c r="C66" i="1"/>
  <c r="C67" i="1"/>
  <c r="C70" i="1"/>
  <c r="C71" i="1"/>
  <c r="C74" i="1"/>
  <c r="C75" i="1"/>
  <c r="C78" i="1"/>
  <c r="C79" i="1"/>
  <c r="C82" i="1"/>
  <c r="C83" i="1"/>
  <c r="C86" i="1"/>
  <c r="C87" i="1"/>
  <c r="C90" i="1"/>
  <c r="C91" i="1"/>
  <c r="C94" i="1"/>
  <c r="C95" i="1"/>
  <c r="C98" i="1"/>
  <c r="C99" i="1"/>
  <c r="C102" i="1"/>
  <c r="C103" i="1"/>
  <c r="C106" i="1"/>
  <c r="C107" i="1"/>
  <c r="C110" i="1"/>
  <c r="C111" i="1"/>
  <c r="C114" i="1"/>
  <c r="C115" i="1"/>
  <c r="C118" i="1"/>
  <c r="C119" i="1"/>
  <c r="C122" i="1"/>
  <c r="C123" i="1"/>
  <c r="C6" i="1"/>
  <c r="C7" i="1"/>
  <c r="C8" i="1"/>
  <c r="C10" i="1"/>
  <c r="C11" i="1"/>
  <c r="D12" i="1"/>
  <c r="D14" i="1"/>
  <c r="C15" i="1"/>
  <c r="D3" i="1"/>
  <c r="H2" i="3" l="1"/>
  <c r="G3" i="3" s="1"/>
  <c r="H3" i="3" s="1"/>
  <c r="D8" i="1"/>
  <c r="F126" i="1"/>
  <c r="C20" i="1"/>
  <c r="C36" i="1"/>
  <c r="D16" i="1"/>
  <c r="D24" i="1"/>
  <c r="C116" i="1"/>
  <c r="C68" i="1"/>
  <c r="C60" i="1"/>
  <c r="C84" i="1"/>
  <c r="C100" i="1"/>
  <c r="C52" i="1"/>
  <c r="C108" i="1"/>
  <c r="C76" i="1"/>
  <c r="C44" i="1"/>
  <c r="C124" i="1"/>
  <c r="C92" i="1"/>
  <c r="D25" i="1"/>
  <c r="C3" i="1"/>
  <c r="D113" i="1"/>
  <c r="D97" i="1"/>
  <c r="D81" i="1"/>
  <c r="D57" i="1"/>
  <c r="C120" i="1"/>
  <c r="C112" i="1"/>
  <c r="C104" i="1"/>
  <c r="C96" i="1"/>
  <c r="C88" i="1"/>
  <c r="C80" i="1"/>
  <c r="C72" i="1"/>
  <c r="C64" i="1"/>
  <c r="C56" i="1"/>
  <c r="C48" i="1"/>
  <c r="C40" i="1"/>
  <c r="C32" i="1"/>
  <c r="D21" i="1"/>
  <c r="D121" i="1"/>
  <c r="D105" i="1"/>
  <c r="D89" i="1"/>
  <c r="D73" i="1"/>
  <c r="D65" i="1"/>
  <c r="D49" i="1"/>
  <c r="D41" i="1"/>
  <c r="D33" i="1"/>
  <c r="D125" i="1"/>
  <c r="D117" i="1"/>
  <c r="D109" i="1"/>
  <c r="D101" i="1"/>
  <c r="D93" i="1"/>
  <c r="D85" i="1"/>
  <c r="D77" i="1"/>
  <c r="D69" i="1"/>
  <c r="D61" i="1"/>
  <c r="D53" i="1"/>
  <c r="D45" i="1"/>
  <c r="D37" i="1"/>
  <c r="C28" i="1"/>
  <c r="C12" i="1"/>
  <c r="D13" i="1"/>
  <c r="C30" i="1"/>
  <c r="D29" i="1"/>
  <c r="D17" i="1"/>
  <c r="D9" i="1"/>
  <c r="D94" i="1"/>
  <c r="D62" i="1"/>
  <c r="C14" i="1"/>
  <c r="D10" i="1"/>
  <c r="D5" i="1"/>
  <c r="D110" i="1"/>
  <c r="D78" i="1"/>
  <c r="D46" i="1"/>
  <c r="D118" i="1"/>
  <c r="D102" i="1"/>
  <c r="D86" i="1"/>
  <c r="D70" i="1"/>
  <c r="D54" i="1"/>
  <c r="D38" i="1"/>
  <c r="D22" i="1"/>
  <c r="D34" i="1"/>
  <c r="D122" i="1"/>
  <c r="D114" i="1"/>
  <c r="D106" i="1"/>
  <c r="D98" i="1"/>
  <c r="D90" i="1"/>
  <c r="D82" i="1"/>
  <c r="D74" i="1"/>
  <c r="D66" i="1"/>
  <c r="D58" i="1"/>
  <c r="D50" i="1"/>
  <c r="D42" i="1"/>
  <c r="D26" i="1"/>
  <c r="D18" i="1"/>
  <c r="D123" i="1"/>
  <c r="D119" i="1"/>
  <c r="D115" i="1"/>
  <c r="D111" i="1"/>
  <c r="D107" i="1"/>
  <c r="D103" i="1"/>
  <c r="D99" i="1"/>
  <c r="D95" i="1"/>
  <c r="D91" i="1"/>
  <c r="D87" i="1"/>
  <c r="D83" i="1"/>
  <c r="D79" i="1"/>
  <c r="D75" i="1"/>
  <c r="D71" i="1"/>
  <c r="D67" i="1"/>
  <c r="D63" i="1"/>
  <c r="D59" i="1"/>
  <c r="D55" i="1"/>
  <c r="D51" i="1"/>
  <c r="D47" i="1"/>
  <c r="D43" i="1"/>
  <c r="D39" i="1"/>
  <c r="D35" i="1"/>
  <c r="D31" i="1"/>
  <c r="D27" i="1"/>
  <c r="D23" i="1"/>
  <c r="D19" i="1"/>
  <c r="D15" i="1"/>
  <c r="D7" i="1"/>
  <c r="D11" i="1"/>
  <c r="D4" i="1"/>
  <c r="D2" i="1"/>
  <c r="G4" i="3" l="1"/>
  <c r="H4" i="3" s="1"/>
  <c r="G5" i="3" s="1"/>
  <c r="H5" i="3" s="1"/>
  <c r="G6" i="3" s="1"/>
  <c r="H6" i="3" s="1"/>
  <c r="C44" i="3"/>
  <c r="C109" i="3"/>
  <c r="C50" i="3"/>
  <c r="C98" i="3"/>
  <c r="C60" i="3"/>
  <c r="C125" i="3"/>
  <c r="C66" i="3"/>
  <c r="C12" i="3"/>
  <c r="C76" i="3"/>
  <c r="C18" i="3"/>
  <c r="C82" i="3"/>
  <c r="C111" i="3"/>
  <c r="C95" i="3"/>
  <c r="C47" i="3"/>
  <c r="C31" i="3"/>
  <c r="C94" i="3"/>
  <c r="C78" i="3"/>
  <c r="C30" i="3"/>
  <c r="C14" i="3"/>
  <c r="C89" i="3"/>
  <c r="C73" i="3"/>
  <c r="C25" i="3"/>
  <c r="C9" i="3"/>
  <c r="C88" i="3"/>
  <c r="C72" i="3"/>
  <c r="C24" i="3"/>
  <c r="C8" i="3"/>
  <c r="C91" i="3"/>
  <c r="C75" i="3"/>
  <c r="C27" i="3"/>
  <c r="C11" i="3"/>
  <c r="C74" i="3"/>
  <c r="C58" i="3"/>
  <c r="C10" i="3"/>
  <c r="C117" i="3"/>
  <c r="C69" i="3"/>
  <c r="C53" i="3"/>
  <c r="C5" i="3"/>
  <c r="C116" i="3"/>
  <c r="C68" i="3"/>
  <c r="C52" i="3"/>
  <c r="C20" i="3"/>
  <c r="C4" i="3"/>
  <c r="C119" i="3"/>
  <c r="C87" i="3"/>
  <c r="C71" i="3"/>
  <c r="C55" i="3"/>
  <c r="C23" i="3"/>
  <c r="C7" i="3"/>
  <c r="C2" i="3"/>
  <c r="C86" i="3"/>
  <c r="C70" i="3"/>
  <c r="C54" i="3"/>
  <c r="C22" i="3"/>
  <c r="C6" i="3"/>
  <c r="C113" i="3"/>
  <c r="C81" i="3"/>
  <c r="C65" i="3"/>
  <c r="C49" i="3"/>
  <c r="C17" i="3"/>
  <c r="C106" i="3"/>
  <c r="C112" i="3"/>
  <c r="C80" i="3"/>
  <c r="C64" i="3"/>
  <c r="C48" i="3"/>
  <c r="C16" i="3"/>
  <c r="C110" i="3"/>
  <c r="C115" i="3"/>
  <c r="C83" i="3"/>
  <c r="C67" i="3"/>
  <c r="C51" i="3"/>
  <c r="C19" i="3"/>
  <c r="C3" i="3"/>
  <c r="C126" i="1"/>
  <c r="C84" i="3" l="1"/>
  <c r="C21" i="3"/>
  <c r="C85" i="3"/>
  <c r="C26" i="3"/>
  <c r="C90" i="3"/>
  <c r="C43" i="3"/>
  <c r="C107" i="3"/>
  <c r="C40" i="3"/>
  <c r="C104" i="3"/>
  <c r="C41" i="3"/>
  <c r="C105" i="3"/>
  <c r="C46" i="3"/>
  <c r="C118" i="3"/>
  <c r="C63" i="3"/>
  <c r="C34" i="3"/>
  <c r="C77" i="3"/>
  <c r="C93" i="3"/>
  <c r="C61" i="3"/>
  <c r="C29" i="3"/>
  <c r="C45" i="3"/>
  <c r="C35" i="3"/>
  <c r="C99" i="3"/>
  <c r="C32" i="3"/>
  <c r="C96" i="3"/>
  <c r="C33" i="3"/>
  <c r="I3" i="3" s="1"/>
  <c r="C97" i="3"/>
  <c r="C38" i="3"/>
  <c r="C102" i="3"/>
  <c r="C39" i="3"/>
  <c r="C103" i="3"/>
  <c r="C36" i="3"/>
  <c r="C100" i="3"/>
  <c r="C37" i="3"/>
  <c r="C101" i="3"/>
  <c r="C42" i="3"/>
  <c r="C114" i="3"/>
  <c r="C59" i="3"/>
  <c r="C123" i="3"/>
  <c r="C56" i="3"/>
  <c r="C120" i="3"/>
  <c r="C57" i="3"/>
  <c r="C121" i="3"/>
  <c r="C62" i="3"/>
  <c r="C15" i="3"/>
  <c r="I2" i="3" s="1"/>
  <c r="C79" i="3"/>
  <c r="C28" i="3"/>
  <c r="C13" i="3"/>
  <c r="C92" i="3"/>
  <c r="C124" i="3"/>
  <c r="C122" i="3"/>
  <c r="C108" i="3"/>
  <c r="I5" i="3"/>
  <c r="I4" i="3" l="1"/>
  <c r="I6" i="3"/>
  <c r="I7" i="3" l="1"/>
  <c r="F9" i="3" l="1"/>
  <c r="J5" i="3"/>
  <c r="J3" i="3"/>
  <c r="J2" i="3"/>
  <c r="J6" i="3"/>
  <c r="J4" i="3"/>
</calcChain>
</file>

<file path=xl/sharedStrings.xml><?xml version="1.0" encoding="utf-8"?>
<sst xmlns="http://schemas.openxmlformats.org/spreadsheetml/2006/main" count="673" uniqueCount="65">
  <si>
    <t>Temporada</t>
  </si>
  <si>
    <t>Niña</t>
  </si>
  <si>
    <t>Niño</t>
  </si>
  <si>
    <t>TALLA</t>
  </si>
  <si>
    <t>TEMPORADA</t>
  </si>
  <si>
    <t>SEXO</t>
  </si>
  <si>
    <t>Nivel de Ventas (unidades)</t>
  </si>
  <si>
    <t>Satisfacción del Cliente (1-5 ⭐)</t>
  </si>
  <si>
    <t>Material</t>
  </si>
  <si>
    <t>Canal de Distribución</t>
  </si>
  <si>
    <t>Tipo de Prenda</t>
  </si>
  <si>
    <t>Pijama “Dinosaurio Feliz”</t>
  </si>
  <si>
    <t>Algodón ligero</t>
  </si>
  <si>
    <t>Instagram Shop</t>
  </si>
  <si>
    <t>Franela suave</t>
  </si>
  <si>
    <t>Conjunto largo</t>
  </si>
  <si>
    <t>Pijama “Super Espacio”</t>
  </si>
  <si>
    <t>Algodón hipoalergénico</t>
  </si>
  <si>
    <t>Amazon</t>
  </si>
  <si>
    <t>Pijama “Ositos Dormilones”</t>
  </si>
  <si>
    <t>Algodón orgánico</t>
  </si>
  <si>
    <t>Mercado Libre</t>
  </si>
  <si>
    <t>Pijama “Arcoíris Mágico”</t>
  </si>
  <si>
    <t>Franela gruesa</t>
  </si>
  <si>
    <t>Tienda Aliada Local</t>
  </si>
  <si>
    <t>Pijama “Aventura Nocturna”</t>
  </si>
  <si>
    <t>Algodón y polar</t>
  </si>
  <si>
    <t>Instagram + TikTok</t>
  </si>
  <si>
    <t>Precio</t>
  </si>
  <si>
    <t>Nombre</t>
  </si>
  <si>
    <t>ID_PDTO</t>
  </si>
  <si>
    <t>ID</t>
  </si>
  <si>
    <t>mono entero</t>
  </si>
  <si>
    <t>invierno</t>
  </si>
  <si>
    <t>primavera</t>
  </si>
  <si>
    <t xml:space="preserve">Facebook </t>
  </si>
  <si>
    <t xml:space="preserve">primavera </t>
  </si>
  <si>
    <t>TOTAL:</t>
  </si>
  <si>
    <t>CANAL DE DISTRIBUCION</t>
  </si>
  <si>
    <t>TIPO DE PRENDA</t>
  </si>
  <si>
    <t>MATERIAL</t>
  </si>
  <si>
    <t>SATISFACCION CLIENTE</t>
  </si>
  <si>
    <t>PRODUCTO/MODELO</t>
  </si>
  <si>
    <t>PRECIO</t>
  </si>
  <si>
    <t>FECHA</t>
  </si>
  <si>
    <t>No</t>
  </si>
  <si>
    <t>COD. CLASE</t>
  </si>
  <si>
    <t>CLASE</t>
  </si>
  <si>
    <t>NIVELES</t>
  </si>
  <si>
    <t>Li</t>
  </si>
  <si>
    <t>Ls</t>
  </si>
  <si>
    <t>Fr</t>
  </si>
  <si>
    <t>Muy Bajo</t>
  </si>
  <si>
    <t>Bajo</t>
  </si>
  <si>
    <t>Medio</t>
  </si>
  <si>
    <t xml:space="preserve">Alto </t>
  </si>
  <si>
    <t>Muy alto</t>
  </si>
  <si>
    <t>MAX</t>
  </si>
  <si>
    <t>MIN</t>
  </si>
  <si>
    <t>RANGO</t>
  </si>
  <si>
    <t>N. CLASES</t>
  </si>
  <si>
    <t>AMPLITUD</t>
  </si>
  <si>
    <t>TOTAL</t>
  </si>
  <si>
    <t>Fa</t>
  </si>
  <si>
    <t>CONTEO 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</si>
</sst>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164" formatCode="#,##0\ &quot;€&quot;;[Red]#,##0\ &quot;€&quot;"/>
    <numFmt numFmtId="165" formatCode="#,##0.0\ _€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" fontId="0" fillId="0" borderId="0" xfId="0" applyNumberFormat="1"/>
    <xf numFmtId="14" fontId="0" fillId="2" borderId="1" xfId="0" applyNumberForma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6" fontId="0" fillId="2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/>
    <xf numFmtId="0" fontId="1" fillId="3" borderId="1" xfId="0" applyFont="1" applyFill="1" applyBorder="1"/>
    <xf numFmtId="0" fontId="0" fillId="4" borderId="0" xfId="0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0" fillId="5" borderId="0" xfId="0" applyFill="1"/>
    <xf numFmtId="0" fontId="0" fillId="6" borderId="0" xfId="0" applyFill="1"/>
    <xf numFmtId="0" fontId="1" fillId="6" borderId="0" xfId="0" applyFont="1" applyFill="1"/>
    <xf numFmtId="2" fontId="0" fillId="0" borderId="0" xfId="0" applyNumberFormat="1"/>
    <xf numFmtId="0" fontId="1" fillId="0" borderId="0" xfId="0" applyFont="1"/>
    <xf numFmtId="165" fontId="0" fillId="2" borderId="1" xfId="0" applyNumberFormat="1" applyFill="1" applyBorder="1" applyAlignment="1">
      <alignment vertical="center" wrapText="1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NIVEL_VENTAS (UNIDADES)</a:t>
            </a:r>
          </a:p>
        </c:rich>
      </c:tx>
      <c:layout>
        <c:manualLayout>
          <c:xMode val="edge"/>
          <c:yMode val="edge"/>
          <c:x val="0.45181747518870768"/>
          <c:y val="9.0683872738309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3.2542598786961176E-2"/>
          <c:y val="5.3822326596623407E-2"/>
          <c:w val="0.9231729135518687"/>
          <c:h val="0.86236521353934781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Hoja1!$F$1</c:f>
              <c:strCache>
                <c:ptCount val="1"/>
                <c:pt idx="0">
                  <c:v>Nivel de Ventas (unidades)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Hoja1!$A$2:$A$125</c:f>
              <c:numCache>
                <c:formatCode>m/d/yyyy</c:formatCode>
                <c:ptCount val="124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</c:numCache>
            </c:numRef>
          </c:xVal>
          <c:yVal>
            <c:numRef>
              <c:f>Hoja1!$F$2:$F$125</c:f>
              <c:numCache>
                <c:formatCode>General</c:formatCode>
                <c:ptCount val="124"/>
                <c:pt idx="0">
                  <c:v>41</c:v>
                </c:pt>
                <c:pt idx="1">
                  <c:v>57</c:v>
                </c:pt>
                <c:pt idx="2">
                  <c:v>53</c:v>
                </c:pt>
                <c:pt idx="3">
                  <c:v>40</c:v>
                </c:pt>
                <c:pt idx="4">
                  <c:v>29</c:v>
                </c:pt>
                <c:pt idx="5">
                  <c:v>32</c:v>
                </c:pt>
                <c:pt idx="6">
                  <c:v>27</c:v>
                </c:pt>
                <c:pt idx="7">
                  <c:v>46</c:v>
                </c:pt>
                <c:pt idx="8">
                  <c:v>60</c:v>
                </c:pt>
                <c:pt idx="9">
                  <c:v>25</c:v>
                </c:pt>
                <c:pt idx="10">
                  <c:v>43</c:v>
                </c:pt>
                <c:pt idx="11">
                  <c:v>40</c:v>
                </c:pt>
                <c:pt idx="12">
                  <c:v>26</c:v>
                </c:pt>
                <c:pt idx="13">
                  <c:v>47</c:v>
                </c:pt>
                <c:pt idx="14">
                  <c:v>46</c:v>
                </c:pt>
                <c:pt idx="15">
                  <c:v>31</c:v>
                </c:pt>
                <c:pt idx="16">
                  <c:v>33</c:v>
                </c:pt>
                <c:pt idx="17">
                  <c:v>53</c:v>
                </c:pt>
                <c:pt idx="18">
                  <c:v>35</c:v>
                </c:pt>
                <c:pt idx="19">
                  <c:v>29</c:v>
                </c:pt>
                <c:pt idx="20">
                  <c:v>29</c:v>
                </c:pt>
                <c:pt idx="21">
                  <c:v>39</c:v>
                </c:pt>
                <c:pt idx="22">
                  <c:v>31</c:v>
                </c:pt>
                <c:pt idx="23">
                  <c:v>57</c:v>
                </c:pt>
                <c:pt idx="24">
                  <c:v>44</c:v>
                </c:pt>
                <c:pt idx="25">
                  <c:v>55</c:v>
                </c:pt>
                <c:pt idx="26">
                  <c:v>48</c:v>
                </c:pt>
                <c:pt idx="27">
                  <c:v>37</c:v>
                </c:pt>
                <c:pt idx="28">
                  <c:v>50</c:v>
                </c:pt>
                <c:pt idx="29">
                  <c:v>56</c:v>
                </c:pt>
                <c:pt idx="30">
                  <c:v>33</c:v>
                </c:pt>
                <c:pt idx="31">
                  <c:v>39</c:v>
                </c:pt>
                <c:pt idx="32">
                  <c:v>33</c:v>
                </c:pt>
                <c:pt idx="33">
                  <c:v>26</c:v>
                </c:pt>
                <c:pt idx="34">
                  <c:v>25</c:v>
                </c:pt>
                <c:pt idx="35">
                  <c:v>57</c:v>
                </c:pt>
                <c:pt idx="36">
                  <c:v>35</c:v>
                </c:pt>
                <c:pt idx="37">
                  <c:v>49</c:v>
                </c:pt>
                <c:pt idx="38">
                  <c:v>58</c:v>
                </c:pt>
                <c:pt idx="39">
                  <c:v>35</c:v>
                </c:pt>
                <c:pt idx="40">
                  <c:v>41</c:v>
                </c:pt>
                <c:pt idx="41">
                  <c:v>46</c:v>
                </c:pt>
                <c:pt idx="42">
                  <c:v>48</c:v>
                </c:pt>
                <c:pt idx="43">
                  <c:v>30</c:v>
                </c:pt>
                <c:pt idx="44">
                  <c:v>51</c:v>
                </c:pt>
                <c:pt idx="45">
                  <c:v>55</c:v>
                </c:pt>
                <c:pt idx="46">
                  <c:v>59</c:v>
                </c:pt>
                <c:pt idx="47">
                  <c:v>52</c:v>
                </c:pt>
                <c:pt idx="48">
                  <c:v>25</c:v>
                </c:pt>
                <c:pt idx="49">
                  <c:v>44</c:v>
                </c:pt>
                <c:pt idx="50">
                  <c:v>49</c:v>
                </c:pt>
                <c:pt idx="51">
                  <c:v>54</c:v>
                </c:pt>
                <c:pt idx="52">
                  <c:v>38</c:v>
                </c:pt>
                <c:pt idx="53">
                  <c:v>27</c:v>
                </c:pt>
                <c:pt idx="54">
                  <c:v>56</c:v>
                </c:pt>
                <c:pt idx="55">
                  <c:v>33</c:v>
                </c:pt>
                <c:pt idx="56">
                  <c:v>48</c:v>
                </c:pt>
                <c:pt idx="57">
                  <c:v>37</c:v>
                </c:pt>
                <c:pt idx="58">
                  <c:v>25</c:v>
                </c:pt>
                <c:pt idx="59">
                  <c:v>51</c:v>
                </c:pt>
                <c:pt idx="60">
                  <c:v>57</c:v>
                </c:pt>
                <c:pt idx="61">
                  <c:v>54</c:v>
                </c:pt>
                <c:pt idx="62">
                  <c:v>33</c:v>
                </c:pt>
                <c:pt idx="63">
                  <c:v>27</c:v>
                </c:pt>
                <c:pt idx="64">
                  <c:v>39</c:v>
                </c:pt>
                <c:pt idx="65">
                  <c:v>27</c:v>
                </c:pt>
                <c:pt idx="66">
                  <c:v>45</c:v>
                </c:pt>
                <c:pt idx="67">
                  <c:v>47</c:v>
                </c:pt>
                <c:pt idx="68">
                  <c:v>51</c:v>
                </c:pt>
                <c:pt idx="69">
                  <c:v>32</c:v>
                </c:pt>
                <c:pt idx="70">
                  <c:v>32</c:v>
                </c:pt>
                <c:pt idx="71">
                  <c:v>48</c:v>
                </c:pt>
                <c:pt idx="72">
                  <c:v>47</c:v>
                </c:pt>
                <c:pt idx="73">
                  <c:v>37</c:v>
                </c:pt>
                <c:pt idx="74">
                  <c:v>37</c:v>
                </c:pt>
                <c:pt idx="75">
                  <c:v>59</c:v>
                </c:pt>
                <c:pt idx="76">
                  <c:v>44</c:v>
                </c:pt>
                <c:pt idx="77">
                  <c:v>49</c:v>
                </c:pt>
                <c:pt idx="78">
                  <c:v>30</c:v>
                </c:pt>
                <c:pt idx="79">
                  <c:v>45</c:v>
                </c:pt>
                <c:pt idx="80">
                  <c:v>58</c:v>
                </c:pt>
                <c:pt idx="81">
                  <c:v>51</c:v>
                </c:pt>
                <c:pt idx="82">
                  <c:v>48</c:v>
                </c:pt>
                <c:pt idx="83">
                  <c:v>41</c:v>
                </c:pt>
                <c:pt idx="84">
                  <c:v>42</c:v>
                </c:pt>
                <c:pt idx="85">
                  <c:v>58</c:v>
                </c:pt>
                <c:pt idx="86">
                  <c:v>46</c:v>
                </c:pt>
                <c:pt idx="87">
                  <c:v>50</c:v>
                </c:pt>
                <c:pt idx="88">
                  <c:v>60</c:v>
                </c:pt>
                <c:pt idx="89">
                  <c:v>55</c:v>
                </c:pt>
                <c:pt idx="90">
                  <c:v>55</c:v>
                </c:pt>
                <c:pt idx="91">
                  <c:v>30</c:v>
                </c:pt>
                <c:pt idx="92">
                  <c:v>37</c:v>
                </c:pt>
                <c:pt idx="93">
                  <c:v>38</c:v>
                </c:pt>
                <c:pt idx="94">
                  <c:v>33</c:v>
                </c:pt>
                <c:pt idx="95">
                  <c:v>28</c:v>
                </c:pt>
                <c:pt idx="96">
                  <c:v>26</c:v>
                </c:pt>
                <c:pt idx="97">
                  <c:v>54</c:v>
                </c:pt>
                <c:pt idx="98">
                  <c:v>25</c:v>
                </c:pt>
                <c:pt idx="99">
                  <c:v>38</c:v>
                </c:pt>
                <c:pt idx="100">
                  <c:v>31</c:v>
                </c:pt>
                <c:pt idx="101">
                  <c:v>49</c:v>
                </c:pt>
                <c:pt idx="102">
                  <c:v>32</c:v>
                </c:pt>
                <c:pt idx="103">
                  <c:v>60</c:v>
                </c:pt>
                <c:pt idx="104">
                  <c:v>28</c:v>
                </c:pt>
                <c:pt idx="105">
                  <c:v>48</c:v>
                </c:pt>
                <c:pt idx="106">
                  <c:v>53</c:v>
                </c:pt>
                <c:pt idx="107">
                  <c:v>40</c:v>
                </c:pt>
                <c:pt idx="108">
                  <c:v>58</c:v>
                </c:pt>
                <c:pt idx="109">
                  <c:v>44</c:v>
                </c:pt>
                <c:pt idx="110">
                  <c:v>33</c:v>
                </c:pt>
                <c:pt idx="111">
                  <c:v>46</c:v>
                </c:pt>
                <c:pt idx="112">
                  <c:v>35</c:v>
                </c:pt>
                <c:pt idx="113">
                  <c:v>47</c:v>
                </c:pt>
                <c:pt idx="114">
                  <c:v>33</c:v>
                </c:pt>
                <c:pt idx="115">
                  <c:v>43</c:v>
                </c:pt>
                <c:pt idx="116">
                  <c:v>42</c:v>
                </c:pt>
                <c:pt idx="117">
                  <c:v>39</c:v>
                </c:pt>
                <c:pt idx="118">
                  <c:v>31</c:v>
                </c:pt>
                <c:pt idx="119">
                  <c:v>57</c:v>
                </c:pt>
                <c:pt idx="120">
                  <c:v>38</c:v>
                </c:pt>
                <c:pt idx="121">
                  <c:v>35</c:v>
                </c:pt>
                <c:pt idx="122">
                  <c:v>56</c:v>
                </c:pt>
                <c:pt idx="123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2A-47BB-B01F-22D0FC64F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77088"/>
        <c:axId val="126765568"/>
      </c:scatterChart>
      <c:valAx>
        <c:axId val="12677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765568"/>
        <c:crosses val="autoZero"/>
        <c:crossBetween val="midCat"/>
      </c:valAx>
      <c:valAx>
        <c:axId val="12676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77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DISPERSIÓN</a:t>
            </a:r>
          </a:p>
        </c:rich>
      </c:tx>
      <c:layout>
        <c:manualLayout>
          <c:xMode val="edge"/>
          <c:yMode val="edge"/>
          <c:x val="0.41473470348636182"/>
          <c:y val="4.3344414031303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Hoja1!$E$1</c:f>
              <c:strCache>
                <c:ptCount val="1"/>
                <c:pt idx="0">
                  <c:v>TALLA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Hoja1!$C$2:$C$125</c:f>
              <c:numCache>
                <c:formatCode>"€"#,##0_);[Red]\("€"#,##0\)</c:formatCode>
                <c:ptCount val="124"/>
                <c:pt idx="0">
                  <c:v>20</c:v>
                </c:pt>
                <c:pt idx="1">
                  <c:v>15</c:v>
                </c:pt>
                <c:pt idx="2">
                  <c:v>20</c:v>
                </c:pt>
                <c:pt idx="3">
                  <c:v>20</c:v>
                </c:pt>
                <c:pt idx="4">
                  <c:v>18</c:v>
                </c:pt>
                <c:pt idx="5">
                  <c:v>15</c:v>
                </c:pt>
                <c:pt idx="6">
                  <c:v>15</c:v>
                </c:pt>
                <c:pt idx="7">
                  <c:v>20</c:v>
                </c:pt>
                <c:pt idx="8">
                  <c:v>15</c:v>
                </c:pt>
                <c:pt idx="9">
                  <c:v>15</c:v>
                </c:pt>
                <c:pt idx="10">
                  <c:v>20</c:v>
                </c:pt>
                <c:pt idx="11">
                  <c:v>15</c:v>
                </c:pt>
                <c:pt idx="12">
                  <c:v>15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15</c:v>
                </c:pt>
                <c:pt idx="17">
                  <c:v>18</c:v>
                </c:pt>
                <c:pt idx="18">
                  <c:v>18</c:v>
                </c:pt>
                <c:pt idx="19">
                  <c:v>20</c:v>
                </c:pt>
                <c:pt idx="20">
                  <c:v>20</c:v>
                </c:pt>
                <c:pt idx="21">
                  <c:v>18</c:v>
                </c:pt>
                <c:pt idx="22">
                  <c:v>15</c:v>
                </c:pt>
                <c:pt idx="23">
                  <c:v>18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20</c:v>
                </c:pt>
                <c:pt idx="29">
                  <c:v>15</c:v>
                </c:pt>
                <c:pt idx="30">
                  <c:v>20</c:v>
                </c:pt>
                <c:pt idx="31">
                  <c:v>20</c:v>
                </c:pt>
                <c:pt idx="32">
                  <c:v>15</c:v>
                </c:pt>
                <c:pt idx="33">
                  <c:v>15</c:v>
                </c:pt>
                <c:pt idx="34">
                  <c:v>20</c:v>
                </c:pt>
                <c:pt idx="35">
                  <c:v>15</c:v>
                </c:pt>
                <c:pt idx="36">
                  <c:v>15</c:v>
                </c:pt>
                <c:pt idx="37">
                  <c:v>20</c:v>
                </c:pt>
                <c:pt idx="38">
                  <c:v>20</c:v>
                </c:pt>
                <c:pt idx="39">
                  <c:v>15</c:v>
                </c:pt>
                <c:pt idx="40">
                  <c:v>20</c:v>
                </c:pt>
                <c:pt idx="41">
                  <c:v>15</c:v>
                </c:pt>
                <c:pt idx="42">
                  <c:v>18</c:v>
                </c:pt>
                <c:pt idx="43">
                  <c:v>18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15</c:v>
                </c:pt>
                <c:pt idx="49">
                  <c:v>20</c:v>
                </c:pt>
                <c:pt idx="50">
                  <c:v>18</c:v>
                </c:pt>
                <c:pt idx="51">
                  <c:v>20</c:v>
                </c:pt>
                <c:pt idx="52">
                  <c:v>15</c:v>
                </c:pt>
                <c:pt idx="53">
                  <c:v>18</c:v>
                </c:pt>
                <c:pt idx="54">
                  <c:v>15</c:v>
                </c:pt>
                <c:pt idx="55">
                  <c:v>15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18</c:v>
                </c:pt>
                <c:pt idx="60">
                  <c:v>20</c:v>
                </c:pt>
                <c:pt idx="61">
                  <c:v>15</c:v>
                </c:pt>
                <c:pt idx="62">
                  <c:v>20</c:v>
                </c:pt>
                <c:pt idx="63">
                  <c:v>20</c:v>
                </c:pt>
                <c:pt idx="64">
                  <c:v>15</c:v>
                </c:pt>
                <c:pt idx="65">
                  <c:v>20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18</c:v>
                </c:pt>
                <c:pt idx="71">
                  <c:v>20</c:v>
                </c:pt>
                <c:pt idx="72">
                  <c:v>18</c:v>
                </c:pt>
                <c:pt idx="73">
                  <c:v>18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15</c:v>
                </c:pt>
                <c:pt idx="78">
                  <c:v>15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18</c:v>
                </c:pt>
                <c:pt idx="86">
                  <c:v>20</c:v>
                </c:pt>
                <c:pt idx="87">
                  <c:v>15</c:v>
                </c:pt>
                <c:pt idx="88">
                  <c:v>18</c:v>
                </c:pt>
                <c:pt idx="89">
                  <c:v>20</c:v>
                </c:pt>
                <c:pt idx="90">
                  <c:v>18</c:v>
                </c:pt>
                <c:pt idx="91">
                  <c:v>15</c:v>
                </c:pt>
                <c:pt idx="92">
                  <c:v>15</c:v>
                </c:pt>
                <c:pt idx="93">
                  <c:v>18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15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15</c:v>
                </c:pt>
                <c:pt idx="102">
                  <c:v>18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20</c:v>
                </c:pt>
                <c:pt idx="109">
                  <c:v>15</c:v>
                </c:pt>
                <c:pt idx="110">
                  <c:v>20</c:v>
                </c:pt>
                <c:pt idx="111">
                  <c:v>20</c:v>
                </c:pt>
                <c:pt idx="112">
                  <c:v>18</c:v>
                </c:pt>
                <c:pt idx="113">
                  <c:v>20</c:v>
                </c:pt>
                <c:pt idx="114">
                  <c:v>15</c:v>
                </c:pt>
                <c:pt idx="115">
                  <c:v>20</c:v>
                </c:pt>
                <c:pt idx="116">
                  <c:v>15</c:v>
                </c:pt>
                <c:pt idx="117">
                  <c:v>15</c:v>
                </c:pt>
                <c:pt idx="118">
                  <c:v>18</c:v>
                </c:pt>
                <c:pt idx="119">
                  <c:v>18</c:v>
                </c:pt>
                <c:pt idx="120">
                  <c:v>15</c:v>
                </c:pt>
                <c:pt idx="121">
                  <c:v>15</c:v>
                </c:pt>
                <c:pt idx="122">
                  <c:v>20</c:v>
                </c:pt>
                <c:pt idx="123">
                  <c:v>20</c:v>
                </c:pt>
              </c:numCache>
            </c:numRef>
          </c:xVal>
          <c:yVal>
            <c:numRef>
              <c:f>Hoja1!$E$2:$E$125</c:f>
              <c:numCache>
                <c:formatCode>General</c:formatCode>
                <c:ptCount val="124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4</c:v>
                </c:pt>
                <c:pt idx="4">
                  <c:v>12</c:v>
                </c:pt>
                <c:pt idx="5">
                  <c:v>14</c:v>
                </c:pt>
                <c:pt idx="6">
                  <c:v>4</c:v>
                </c:pt>
                <c:pt idx="7">
                  <c:v>6</c:v>
                </c:pt>
                <c:pt idx="8">
                  <c:v>12</c:v>
                </c:pt>
                <c:pt idx="9">
                  <c:v>4</c:v>
                </c:pt>
                <c:pt idx="10">
                  <c:v>8</c:v>
                </c:pt>
                <c:pt idx="11">
                  <c:v>14</c:v>
                </c:pt>
                <c:pt idx="12">
                  <c:v>6</c:v>
                </c:pt>
                <c:pt idx="13">
                  <c:v>14</c:v>
                </c:pt>
                <c:pt idx="14">
                  <c:v>6</c:v>
                </c:pt>
                <c:pt idx="15">
                  <c:v>8</c:v>
                </c:pt>
                <c:pt idx="16">
                  <c:v>12</c:v>
                </c:pt>
                <c:pt idx="17">
                  <c:v>4</c:v>
                </c:pt>
                <c:pt idx="18">
                  <c:v>6</c:v>
                </c:pt>
                <c:pt idx="19">
                  <c:v>12</c:v>
                </c:pt>
                <c:pt idx="20">
                  <c:v>4</c:v>
                </c:pt>
                <c:pt idx="21">
                  <c:v>8</c:v>
                </c:pt>
                <c:pt idx="22">
                  <c:v>10</c:v>
                </c:pt>
                <c:pt idx="23">
                  <c:v>6</c:v>
                </c:pt>
                <c:pt idx="24">
                  <c:v>12</c:v>
                </c:pt>
                <c:pt idx="25">
                  <c:v>14</c:v>
                </c:pt>
                <c:pt idx="26">
                  <c:v>6</c:v>
                </c:pt>
                <c:pt idx="27">
                  <c:v>4</c:v>
                </c:pt>
                <c:pt idx="28">
                  <c:v>10</c:v>
                </c:pt>
                <c:pt idx="29">
                  <c:v>8</c:v>
                </c:pt>
                <c:pt idx="30">
                  <c:v>14</c:v>
                </c:pt>
                <c:pt idx="31">
                  <c:v>6</c:v>
                </c:pt>
                <c:pt idx="32">
                  <c:v>4</c:v>
                </c:pt>
                <c:pt idx="33">
                  <c:v>6</c:v>
                </c:pt>
                <c:pt idx="34">
                  <c:v>12</c:v>
                </c:pt>
                <c:pt idx="35">
                  <c:v>10</c:v>
                </c:pt>
                <c:pt idx="36">
                  <c:v>4</c:v>
                </c:pt>
                <c:pt idx="37">
                  <c:v>6</c:v>
                </c:pt>
                <c:pt idx="38">
                  <c:v>8</c:v>
                </c:pt>
                <c:pt idx="39">
                  <c:v>4</c:v>
                </c:pt>
                <c:pt idx="40">
                  <c:v>10</c:v>
                </c:pt>
                <c:pt idx="41">
                  <c:v>14</c:v>
                </c:pt>
                <c:pt idx="42">
                  <c:v>6</c:v>
                </c:pt>
                <c:pt idx="43">
                  <c:v>8</c:v>
                </c:pt>
                <c:pt idx="44">
                  <c:v>10</c:v>
                </c:pt>
                <c:pt idx="45">
                  <c:v>12</c:v>
                </c:pt>
                <c:pt idx="46">
                  <c:v>4</c:v>
                </c:pt>
                <c:pt idx="47">
                  <c:v>6</c:v>
                </c:pt>
                <c:pt idx="48">
                  <c:v>14</c:v>
                </c:pt>
                <c:pt idx="49">
                  <c:v>6</c:v>
                </c:pt>
                <c:pt idx="50">
                  <c:v>8</c:v>
                </c:pt>
                <c:pt idx="51">
                  <c:v>10</c:v>
                </c:pt>
                <c:pt idx="52">
                  <c:v>12</c:v>
                </c:pt>
                <c:pt idx="53">
                  <c:v>4</c:v>
                </c:pt>
                <c:pt idx="54">
                  <c:v>6</c:v>
                </c:pt>
                <c:pt idx="55">
                  <c:v>10</c:v>
                </c:pt>
                <c:pt idx="56">
                  <c:v>4</c:v>
                </c:pt>
                <c:pt idx="57">
                  <c:v>8</c:v>
                </c:pt>
                <c:pt idx="58">
                  <c:v>8</c:v>
                </c:pt>
                <c:pt idx="59">
                  <c:v>4</c:v>
                </c:pt>
                <c:pt idx="60">
                  <c:v>6</c:v>
                </c:pt>
                <c:pt idx="61">
                  <c:v>12</c:v>
                </c:pt>
                <c:pt idx="62">
                  <c:v>14</c:v>
                </c:pt>
                <c:pt idx="63">
                  <c:v>4</c:v>
                </c:pt>
                <c:pt idx="64">
                  <c:v>10</c:v>
                </c:pt>
                <c:pt idx="65">
                  <c:v>8</c:v>
                </c:pt>
                <c:pt idx="66">
                  <c:v>6</c:v>
                </c:pt>
                <c:pt idx="67">
                  <c:v>4</c:v>
                </c:pt>
                <c:pt idx="68">
                  <c:v>8</c:v>
                </c:pt>
                <c:pt idx="69">
                  <c:v>12</c:v>
                </c:pt>
                <c:pt idx="70">
                  <c:v>4</c:v>
                </c:pt>
                <c:pt idx="71">
                  <c:v>12</c:v>
                </c:pt>
                <c:pt idx="72">
                  <c:v>6</c:v>
                </c:pt>
                <c:pt idx="73">
                  <c:v>14</c:v>
                </c:pt>
                <c:pt idx="74">
                  <c:v>8</c:v>
                </c:pt>
                <c:pt idx="75">
                  <c:v>4</c:v>
                </c:pt>
                <c:pt idx="76">
                  <c:v>10</c:v>
                </c:pt>
                <c:pt idx="77">
                  <c:v>8</c:v>
                </c:pt>
                <c:pt idx="78">
                  <c:v>6</c:v>
                </c:pt>
                <c:pt idx="79">
                  <c:v>4</c:v>
                </c:pt>
                <c:pt idx="80">
                  <c:v>12</c:v>
                </c:pt>
                <c:pt idx="81">
                  <c:v>6</c:v>
                </c:pt>
                <c:pt idx="82">
                  <c:v>14</c:v>
                </c:pt>
                <c:pt idx="83">
                  <c:v>6</c:v>
                </c:pt>
                <c:pt idx="84">
                  <c:v>8</c:v>
                </c:pt>
                <c:pt idx="85">
                  <c:v>10</c:v>
                </c:pt>
                <c:pt idx="86">
                  <c:v>6</c:v>
                </c:pt>
                <c:pt idx="87">
                  <c:v>8</c:v>
                </c:pt>
                <c:pt idx="88">
                  <c:v>6</c:v>
                </c:pt>
                <c:pt idx="89">
                  <c:v>12</c:v>
                </c:pt>
                <c:pt idx="90">
                  <c:v>4</c:v>
                </c:pt>
                <c:pt idx="91">
                  <c:v>14</c:v>
                </c:pt>
                <c:pt idx="92">
                  <c:v>8</c:v>
                </c:pt>
                <c:pt idx="93">
                  <c:v>12</c:v>
                </c:pt>
                <c:pt idx="94">
                  <c:v>8</c:v>
                </c:pt>
                <c:pt idx="95">
                  <c:v>4</c:v>
                </c:pt>
                <c:pt idx="96">
                  <c:v>10</c:v>
                </c:pt>
                <c:pt idx="97">
                  <c:v>12</c:v>
                </c:pt>
                <c:pt idx="98">
                  <c:v>8</c:v>
                </c:pt>
                <c:pt idx="99">
                  <c:v>6</c:v>
                </c:pt>
                <c:pt idx="100">
                  <c:v>12</c:v>
                </c:pt>
                <c:pt idx="101">
                  <c:v>4</c:v>
                </c:pt>
                <c:pt idx="102">
                  <c:v>10</c:v>
                </c:pt>
                <c:pt idx="103">
                  <c:v>12</c:v>
                </c:pt>
                <c:pt idx="104">
                  <c:v>6</c:v>
                </c:pt>
                <c:pt idx="105">
                  <c:v>8</c:v>
                </c:pt>
                <c:pt idx="106">
                  <c:v>4</c:v>
                </c:pt>
                <c:pt idx="107">
                  <c:v>8</c:v>
                </c:pt>
                <c:pt idx="108">
                  <c:v>10</c:v>
                </c:pt>
                <c:pt idx="109">
                  <c:v>14</c:v>
                </c:pt>
                <c:pt idx="110">
                  <c:v>4</c:v>
                </c:pt>
                <c:pt idx="111">
                  <c:v>6</c:v>
                </c:pt>
                <c:pt idx="112">
                  <c:v>8</c:v>
                </c:pt>
                <c:pt idx="113">
                  <c:v>6</c:v>
                </c:pt>
                <c:pt idx="114">
                  <c:v>12</c:v>
                </c:pt>
                <c:pt idx="115">
                  <c:v>14</c:v>
                </c:pt>
                <c:pt idx="116">
                  <c:v>8</c:v>
                </c:pt>
                <c:pt idx="117">
                  <c:v>4</c:v>
                </c:pt>
                <c:pt idx="118">
                  <c:v>6</c:v>
                </c:pt>
                <c:pt idx="119">
                  <c:v>14</c:v>
                </c:pt>
                <c:pt idx="120">
                  <c:v>10</c:v>
                </c:pt>
                <c:pt idx="121">
                  <c:v>4</c:v>
                </c:pt>
                <c:pt idx="122">
                  <c:v>6</c:v>
                </c:pt>
                <c:pt idx="1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91-4804-9975-E5548F0E4EB6}"/>
            </c:ext>
          </c:extLst>
        </c:ser>
        <c:ser>
          <c:idx val="1"/>
          <c:order val="1"/>
          <c:tx>
            <c:strRef>
              <c:f>Hoja1!$F$1</c:f>
              <c:strCache>
                <c:ptCount val="1"/>
                <c:pt idx="0">
                  <c:v>Nivel de Ventas (unidades)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Hoja1!$C$2:$C$125</c:f>
              <c:numCache>
                <c:formatCode>"€"#,##0_);[Red]\("€"#,##0\)</c:formatCode>
                <c:ptCount val="124"/>
                <c:pt idx="0">
                  <c:v>20</c:v>
                </c:pt>
                <c:pt idx="1">
                  <c:v>15</c:v>
                </c:pt>
                <c:pt idx="2">
                  <c:v>20</c:v>
                </c:pt>
                <c:pt idx="3">
                  <c:v>20</c:v>
                </c:pt>
                <c:pt idx="4">
                  <c:v>18</c:v>
                </c:pt>
                <c:pt idx="5">
                  <c:v>15</c:v>
                </c:pt>
                <c:pt idx="6">
                  <c:v>15</c:v>
                </c:pt>
                <c:pt idx="7">
                  <c:v>20</c:v>
                </c:pt>
                <c:pt idx="8">
                  <c:v>15</c:v>
                </c:pt>
                <c:pt idx="9">
                  <c:v>15</c:v>
                </c:pt>
                <c:pt idx="10">
                  <c:v>20</c:v>
                </c:pt>
                <c:pt idx="11">
                  <c:v>15</c:v>
                </c:pt>
                <c:pt idx="12">
                  <c:v>15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15</c:v>
                </c:pt>
                <c:pt idx="17">
                  <c:v>18</c:v>
                </c:pt>
                <c:pt idx="18">
                  <c:v>18</c:v>
                </c:pt>
                <c:pt idx="19">
                  <c:v>20</c:v>
                </c:pt>
                <c:pt idx="20">
                  <c:v>20</c:v>
                </c:pt>
                <c:pt idx="21">
                  <c:v>18</c:v>
                </c:pt>
                <c:pt idx="22">
                  <c:v>15</c:v>
                </c:pt>
                <c:pt idx="23">
                  <c:v>18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20</c:v>
                </c:pt>
                <c:pt idx="29">
                  <c:v>15</c:v>
                </c:pt>
                <c:pt idx="30">
                  <c:v>20</c:v>
                </c:pt>
                <c:pt idx="31">
                  <c:v>20</c:v>
                </c:pt>
                <c:pt idx="32">
                  <c:v>15</c:v>
                </c:pt>
                <c:pt idx="33">
                  <c:v>15</c:v>
                </c:pt>
                <c:pt idx="34">
                  <c:v>20</c:v>
                </c:pt>
                <c:pt idx="35">
                  <c:v>15</c:v>
                </c:pt>
                <c:pt idx="36">
                  <c:v>15</c:v>
                </c:pt>
                <c:pt idx="37">
                  <c:v>20</c:v>
                </c:pt>
                <c:pt idx="38">
                  <c:v>20</c:v>
                </c:pt>
                <c:pt idx="39">
                  <c:v>15</c:v>
                </c:pt>
                <c:pt idx="40">
                  <c:v>20</c:v>
                </c:pt>
                <c:pt idx="41">
                  <c:v>15</c:v>
                </c:pt>
                <c:pt idx="42">
                  <c:v>18</c:v>
                </c:pt>
                <c:pt idx="43">
                  <c:v>18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15</c:v>
                </c:pt>
                <c:pt idx="49">
                  <c:v>20</c:v>
                </c:pt>
                <c:pt idx="50">
                  <c:v>18</c:v>
                </c:pt>
                <c:pt idx="51">
                  <c:v>20</c:v>
                </c:pt>
                <c:pt idx="52">
                  <c:v>15</c:v>
                </c:pt>
                <c:pt idx="53">
                  <c:v>18</c:v>
                </c:pt>
                <c:pt idx="54">
                  <c:v>15</c:v>
                </c:pt>
                <c:pt idx="55">
                  <c:v>15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18</c:v>
                </c:pt>
                <c:pt idx="60">
                  <c:v>20</c:v>
                </c:pt>
                <c:pt idx="61">
                  <c:v>15</c:v>
                </c:pt>
                <c:pt idx="62">
                  <c:v>20</c:v>
                </c:pt>
                <c:pt idx="63">
                  <c:v>20</c:v>
                </c:pt>
                <c:pt idx="64">
                  <c:v>15</c:v>
                </c:pt>
                <c:pt idx="65">
                  <c:v>20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18</c:v>
                </c:pt>
                <c:pt idx="71">
                  <c:v>20</c:v>
                </c:pt>
                <c:pt idx="72">
                  <c:v>18</c:v>
                </c:pt>
                <c:pt idx="73">
                  <c:v>18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15</c:v>
                </c:pt>
                <c:pt idx="78">
                  <c:v>15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18</c:v>
                </c:pt>
                <c:pt idx="86">
                  <c:v>20</c:v>
                </c:pt>
                <c:pt idx="87">
                  <c:v>15</c:v>
                </c:pt>
                <c:pt idx="88">
                  <c:v>18</c:v>
                </c:pt>
                <c:pt idx="89">
                  <c:v>20</c:v>
                </c:pt>
                <c:pt idx="90">
                  <c:v>18</c:v>
                </c:pt>
                <c:pt idx="91">
                  <c:v>15</c:v>
                </c:pt>
                <c:pt idx="92">
                  <c:v>15</c:v>
                </c:pt>
                <c:pt idx="93">
                  <c:v>18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15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15</c:v>
                </c:pt>
                <c:pt idx="102">
                  <c:v>18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20</c:v>
                </c:pt>
                <c:pt idx="109">
                  <c:v>15</c:v>
                </c:pt>
                <c:pt idx="110">
                  <c:v>20</c:v>
                </c:pt>
                <c:pt idx="111">
                  <c:v>20</c:v>
                </c:pt>
                <c:pt idx="112">
                  <c:v>18</c:v>
                </c:pt>
                <c:pt idx="113">
                  <c:v>20</c:v>
                </c:pt>
                <c:pt idx="114">
                  <c:v>15</c:v>
                </c:pt>
                <c:pt idx="115">
                  <c:v>20</c:v>
                </c:pt>
                <c:pt idx="116">
                  <c:v>15</c:v>
                </c:pt>
                <c:pt idx="117">
                  <c:v>15</c:v>
                </c:pt>
                <c:pt idx="118">
                  <c:v>18</c:v>
                </c:pt>
                <c:pt idx="119">
                  <c:v>18</c:v>
                </c:pt>
                <c:pt idx="120">
                  <c:v>15</c:v>
                </c:pt>
                <c:pt idx="121">
                  <c:v>15</c:v>
                </c:pt>
                <c:pt idx="122">
                  <c:v>20</c:v>
                </c:pt>
                <c:pt idx="123">
                  <c:v>20</c:v>
                </c:pt>
              </c:numCache>
            </c:numRef>
          </c:xVal>
          <c:yVal>
            <c:numRef>
              <c:f>Hoja1!$F$2:$F$125</c:f>
              <c:numCache>
                <c:formatCode>General</c:formatCode>
                <c:ptCount val="124"/>
                <c:pt idx="0">
                  <c:v>41</c:v>
                </c:pt>
                <c:pt idx="1">
                  <c:v>57</c:v>
                </c:pt>
                <c:pt idx="2">
                  <c:v>53</c:v>
                </c:pt>
                <c:pt idx="3">
                  <c:v>40</c:v>
                </c:pt>
                <c:pt idx="4">
                  <c:v>29</c:v>
                </c:pt>
                <c:pt idx="5">
                  <c:v>32</c:v>
                </c:pt>
                <c:pt idx="6">
                  <c:v>27</c:v>
                </c:pt>
                <c:pt idx="7">
                  <c:v>46</c:v>
                </c:pt>
                <c:pt idx="8">
                  <c:v>60</c:v>
                </c:pt>
                <c:pt idx="9">
                  <c:v>25</c:v>
                </c:pt>
                <c:pt idx="10">
                  <c:v>43</c:v>
                </c:pt>
                <c:pt idx="11">
                  <c:v>40</c:v>
                </c:pt>
                <c:pt idx="12">
                  <c:v>26</c:v>
                </c:pt>
                <c:pt idx="13">
                  <c:v>47</c:v>
                </c:pt>
                <c:pt idx="14">
                  <c:v>46</c:v>
                </c:pt>
                <c:pt idx="15">
                  <c:v>31</c:v>
                </c:pt>
                <c:pt idx="16">
                  <c:v>33</c:v>
                </c:pt>
                <c:pt idx="17">
                  <c:v>53</c:v>
                </c:pt>
                <c:pt idx="18">
                  <c:v>35</c:v>
                </c:pt>
                <c:pt idx="19">
                  <c:v>29</c:v>
                </c:pt>
                <c:pt idx="20">
                  <c:v>29</c:v>
                </c:pt>
                <c:pt idx="21">
                  <c:v>39</c:v>
                </c:pt>
                <c:pt idx="22">
                  <c:v>31</c:v>
                </c:pt>
                <c:pt idx="23">
                  <c:v>57</c:v>
                </c:pt>
                <c:pt idx="24">
                  <c:v>44</c:v>
                </c:pt>
                <c:pt idx="25">
                  <c:v>55</c:v>
                </c:pt>
                <c:pt idx="26">
                  <c:v>48</c:v>
                </c:pt>
                <c:pt idx="27">
                  <c:v>37</c:v>
                </c:pt>
                <c:pt idx="28">
                  <c:v>50</c:v>
                </c:pt>
                <c:pt idx="29">
                  <c:v>56</c:v>
                </c:pt>
                <c:pt idx="30">
                  <c:v>33</c:v>
                </c:pt>
                <c:pt idx="31">
                  <c:v>39</c:v>
                </c:pt>
                <c:pt idx="32">
                  <c:v>33</c:v>
                </c:pt>
                <c:pt idx="33">
                  <c:v>26</c:v>
                </c:pt>
                <c:pt idx="34">
                  <c:v>25</c:v>
                </c:pt>
                <c:pt idx="35">
                  <c:v>57</c:v>
                </c:pt>
                <c:pt idx="36">
                  <c:v>35</c:v>
                </c:pt>
                <c:pt idx="37">
                  <c:v>49</c:v>
                </c:pt>
                <c:pt idx="38">
                  <c:v>58</c:v>
                </c:pt>
                <c:pt idx="39">
                  <c:v>35</c:v>
                </c:pt>
                <c:pt idx="40">
                  <c:v>41</c:v>
                </c:pt>
                <c:pt idx="41">
                  <c:v>46</c:v>
                </c:pt>
                <c:pt idx="42">
                  <c:v>48</c:v>
                </c:pt>
                <c:pt idx="43">
                  <c:v>30</c:v>
                </c:pt>
                <c:pt idx="44">
                  <c:v>51</c:v>
                </c:pt>
                <c:pt idx="45">
                  <c:v>55</c:v>
                </c:pt>
                <c:pt idx="46">
                  <c:v>59</c:v>
                </c:pt>
                <c:pt idx="47">
                  <c:v>52</c:v>
                </c:pt>
                <c:pt idx="48">
                  <c:v>25</c:v>
                </c:pt>
                <c:pt idx="49">
                  <c:v>44</c:v>
                </c:pt>
                <c:pt idx="50">
                  <c:v>49</c:v>
                </c:pt>
                <c:pt idx="51">
                  <c:v>54</c:v>
                </c:pt>
                <c:pt idx="52">
                  <c:v>38</c:v>
                </c:pt>
                <c:pt idx="53">
                  <c:v>27</c:v>
                </c:pt>
                <c:pt idx="54">
                  <c:v>56</c:v>
                </c:pt>
                <c:pt idx="55">
                  <c:v>33</c:v>
                </c:pt>
                <c:pt idx="56">
                  <c:v>48</c:v>
                </c:pt>
                <c:pt idx="57">
                  <c:v>37</c:v>
                </c:pt>
                <c:pt idx="58">
                  <c:v>25</c:v>
                </c:pt>
                <c:pt idx="59">
                  <c:v>51</c:v>
                </c:pt>
                <c:pt idx="60">
                  <c:v>57</c:v>
                </c:pt>
                <c:pt idx="61">
                  <c:v>54</c:v>
                </c:pt>
                <c:pt idx="62">
                  <c:v>33</c:v>
                </c:pt>
                <c:pt idx="63">
                  <c:v>27</c:v>
                </c:pt>
                <c:pt idx="64">
                  <c:v>39</c:v>
                </c:pt>
                <c:pt idx="65">
                  <c:v>27</c:v>
                </c:pt>
                <c:pt idx="66">
                  <c:v>45</c:v>
                </c:pt>
                <c:pt idx="67">
                  <c:v>47</c:v>
                </c:pt>
                <c:pt idx="68">
                  <c:v>51</c:v>
                </c:pt>
                <c:pt idx="69">
                  <c:v>32</c:v>
                </c:pt>
                <c:pt idx="70">
                  <c:v>32</c:v>
                </c:pt>
                <c:pt idx="71">
                  <c:v>48</c:v>
                </c:pt>
                <c:pt idx="72">
                  <c:v>47</c:v>
                </c:pt>
                <c:pt idx="73">
                  <c:v>37</c:v>
                </c:pt>
                <c:pt idx="74">
                  <c:v>37</c:v>
                </c:pt>
                <c:pt idx="75">
                  <c:v>59</c:v>
                </c:pt>
                <c:pt idx="76">
                  <c:v>44</c:v>
                </c:pt>
                <c:pt idx="77">
                  <c:v>49</c:v>
                </c:pt>
                <c:pt idx="78">
                  <c:v>30</c:v>
                </c:pt>
                <c:pt idx="79">
                  <c:v>45</c:v>
                </c:pt>
                <c:pt idx="80">
                  <c:v>58</c:v>
                </c:pt>
                <c:pt idx="81">
                  <c:v>51</c:v>
                </c:pt>
                <c:pt idx="82">
                  <c:v>48</c:v>
                </c:pt>
                <c:pt idx="83">
                  <c:v>41</c:v>
                </c:pt>
                <c:pt idx="84">
                  <c:v>42</c:v>
                </c:pt>
                <c:pt idx="85">
                  <c:v>58</c:v>
                </c:pt>
                <c:pt idx="86">
                  <c:v>46</c:v>
                </c:pt>
                <c:pt idx="87">
                  <c:v>50</c:v>
                </c:pt>
                <c:pt idx="88">
                  <c:v>60</c:v>
                </c:pt>
                <c:pt idx="89">
                  <c:v>55</c:v>
                </c:pt>
                <c:pt idx="90">
                  <c:v>55</c:v>
                </c:pt>
                <c:pt idx="91">
                  <c:v>30</c:v>
                </c:pt>
                <c:pt idx="92">
                  <c:v>37</c:v>
                </c:pt>
                <c:pt idx="93">
                  <c:v>38</c:v>
                </c:pt>
                <c:pt idx="94">
                  <c:v>33</c:v>
                </c:pt>
                <c:pt idx="95">
                  <c:v>28</c:v>
                </c:pt>
                <c:pt idx="96">
                  <c:v>26</c:v>
                </c:pt>
                <c:pt idx="97">
                  <c:v>54</c:v>
                </c:pt>
                <c:pt idx="98">
                  <c:v>25</c:v>
                </c:pt>
                <c:pt idx="99">
                  <c:v>38</c:v>
                </c:pt>
                <c:pt idx="100">
                  <c:v>31</c:v>
                </c:pt>
                <c:pt idx="101">
                  <c:v>49</c:v>
                </c:pt>
                <c:pt idx="102">
                  <c:v>32</c:v>
                </c:pt>
                <c:pt idx="103">
                  <c:v>60</c:v>
                </c:pt>
                <c:pt idx="104">
                  <c:v>28</c:v>
                </c:pt>
                <c:pt idx="105">
                  <c:v>48</c:v>
                </c:pt>
                <c:pt idx="106">
                  <c:v>53</c:v>
                </c:pt>
                <c:pt idx="107">
                  <c:v>40</c:v>
                </c:pt>
                <c:pt idx="108">
                  <c:v>58</c:v>
                </c:pt>
                <c:pt idx="109">
                  <c:v>44</c:v>
                </c:pt>
                <c:pt idx="110">
                  <c:v>33</c:v>
                </c:pt>
                <c:pt idx="111">
                  <c:v>46</c:v>
                </c:pt>
                <c:pt idx="112">
                  <c:v>35</c:v>
                </c:pt>
                <c:pt idx="113">
                  <c:v>47</c:v>
                </c:pt>
                <c:pt idx="114">
                  <c:v>33</c:v>
                </c:pt>
                <c:pt idx="115">
                  <c:v>43</c:v>
                </c:pt>
                <c:pt idx="116">
                  <c:v>42</c:v>
                </c:pt>
                <c:pt idx="117">
                  <c:v>39</c:v>
                </c:pt>
                <c:pt idx="118">
                  <c:v>31</c:v>
                </c:pt>
                <c:pt idx="119">
                  <c:v>57</c:v>
                </c:pt>
                <c:pt idx="120">
                  <c:v>38</c:v>
                </c:pt>
                <c:pt idx="121">
                  <c:v>35</c:v>
                </c:pt>
                <c:pt idx="122">
                  <c:v>56</c:v>
                </c:pt>
                <c:pt idx="123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91-4804-9975-E5548F0E4EB6}"/>
            </c:ext>
          </c:extLst>
        </c:ser>
        <c:ser>
          <c:idx val="2"/>
          <c:order val="2"/>
          <c:tx>
            <c:strRef>
              <c:f>Hoja1!$G$1</c:f>
              <c:strCache>
                <c:ptCount val="1"/>
                <c:pt idx="0">
                  <c:v>SATISFACCION CLIENTE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Hoja1!$C$2:$C$125</c:f>
              <c:numCache>
                <c:formatCode>"€"#,##0_);[Red]\("€"#,##0\)</c:formatCode>
                <c:ptCount val="124"/>
                <c:pt idx="0">
                  <c:v>20</c:v>
                </c:pt>
                <c:pt idx="1">
                  <c:v>15</c:v>
                </c:pt>
                <c:pt idx="2">
                  <c:v>20</c:v>
                </c:pt>
                <c:pt idx="3">
                  <c:v>20</c:v>
                </c:pt>
                <c:pt idx="4">
                  <c:v>18</c:v>
                </c:pt>
                <c:pt idx="5">
                  <c:v>15</c:v>
                </c:pt>
                <c:pt idx="6">
                  <c:v>15</c:v>
                </c:pt>
                <c:pt idx="7">
                  <c:v>20</c:v>
                </c:pt>
                <c:pt idx="8">
                  <c:v>15</c:v>
                </c:pt>
                <c:pt idx="9">
                  <c:v>15</c:v>
                </c:pt>
                <c:pt idx="10">
                  <c:v>20</c:v>
                </c:pt>
                <c:pt idx="11">
                  <c:v>15</c:v>
                </c:pt>
                <c:pt idx="12">
                  <c:v>15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15</c:v>
                </c:pt>
                <c:pt idx="17">
                  <c:v>18</c:v>
                </c:pt>
                <c:pt idx="18">
                  <c:v>18</c:v>
                </c:pt>
                <c:pt idx="19">
                  <c:v>20</c:v>
                </c:pt>
                <c:pt idx="20">
                  <c:v>20</c:v>
                </c:pt>
                <c:pt idx="21">
                  <c:v>18</c:v>
                </c:pt>
                <c:pt idx="22">
                  <c:v>15</c:v>
                </c:pt>
                <c:pt idx="23">
                  <c:v>18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20</c:v>
                </c:pt>
                <c:pt idx="29">
                  <c:v>15</c:v>
                </c:pt>
                <c:pt idx="30">
                  <c:v>20</c:v>
                </c:pt>
                <c:pt idx="31">
                  <c:v>20</c:v>
                </c:pt>
                <c:pt idx="32">
                  <c:v>15</c:v>
                </c:pt>
                <c:pt idx="33">
                  <c:v>15</c:v>
                </c:pt>
                <c:pt idx="34">
                  <c:v>20</c:v>
                </c:pt>
                <c:pt idx="35">
                  <c:v>15</c:v>
                </c:pt>
                <c:pt idx="36">
                  <c:v>15</c:v>
                </c:pt>
                <c:pt idx="37">
                  <c:v>20</c:v>
                </c:pt>
                <c:pt idx="38">
                  <c:v>20</c:v>
                </c:pt>
                <c:pt idx="39">
                  <c:v>15</c:v>
                </c:pt>
                <c:pt idx="40">
                  <c:v>20</c:v>
                </c:pt>
                <c:pt idx="41">
                  <c:v>15</c:v>
                </c:pt>
                <c:pt idx="42">
                  <c:v>18</c:v>
                </c:pt>
                <c:pt idx="43">
                  <c:v>18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15</c:v>
                </c:pt>
                <c:pt idx="49">
                  <c:v>20</c:v>
                </c:pt>
                <c:pt idx="50">
                  <c:v>18</c:v>
                </c:pt>
                <c:pt idx="51">
                  <c:v>20</c:v>
                </c:pt>
                <c:pt idx="52">
                  <c:v>15</c:v>
                </c:pt>
                <c:pt idx="53">
                  <c:v>18</c:v>
                </c:pt>
                <c:pt idx="54">
                  <c:v>15</c:v>
                </c:pt>
                <c:pt idx="55">
                  <c:v>15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18</c:v>
                </c:pt>
                <c:pt idx="60">
                  <c:v>20</c:v>
                </c:pt>
                <c:pt idx="61">
                  <c:v>15</c:v>
                </c:pt>
                <c:pt idx="62">
                  <c:v>20</c:v>
                </c:pt>
                <c:pt idx="63">
                  <c:v>20</c:v>
                </c:pt>
                <c:pt idx="64">
                  <c:v>15</c:v>
                </c:pt>
                <c:pt idx="65">
                  <c:v>20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18</c:v>
                </c:pt>
                <c:pt idx="71">
                  <c:v>20</c:v>
                </c:pt>
                <c:pt idx="72">
                  <c:v>18</c:v>
                </c:pt>
                <c:pt idx="73">
                  <c:v>18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15</c:v>
                </c:pt>
                <c:pt idx="78">
                  <c:v>15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18</c:v>
                </c:pt>
                <c:pt idx="86">
                  <c:v>20</c:v>
                </c:pt>
                <c:pt idx="87">
                  <c:v>15</c:v>
                </c:pt>
                <c:pt idx="88">
                  <c:v>18</c:v>
                </c:pt>
                <c:pt idx="89">
                  <c:v>20</c:v>
                </c:pt>
                <c:pt idx="90">
                  <c:v>18</c:v>
                </c:pt>
                <c:pt idx="91">
                  <c:v>15</c:v>
                </c:pt>
                <c:pt idx="92">
                  <c:v>15</c:v>
                </c:pt>
                <c:pt idx="93">
                  <c:v>18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15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15</c:v>
                </c:pt>
                <c:pt idx="102">
                  <c:v>18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20</c:v>
                </c:pt>
                <c:pt idx="109">
                  <c:v>15</c:v>
                </c:pt>
                <c:pt idx="110">
                  <c:v>20</c:v>
                </c:pt>
                <c:pt idx="111">
                  <c:v>20</c:v>
                </c:pt>
                <c:pt idx="112">
                  <c:v>18</c:v>
                </c:pt>
                <c:pt idx="113">
                  <c:v>20</c:v>
                </c:pt>
                <c:pt idx="114">
                  <c:v>15</c:v>
                </c:pt>
                <c:pt idx="115">
                  <c:v>20</c:v>
                </c:pt>
                <c:pt idx="116">
                  <c:v>15</c:v>
                </c:pt>
                <c:pt idx="117">
                  <c:v>15</c:v>
                </c:pt>
                <c:pt idx="118">
                  <c:v>18</c:v>
                </c:pt>
                <c:pt idx="119">
                  <c:v>18</c:v>
                </c:pt>
                <c:pt idx="120">
                  <c:v>15</c:v>
                </c:pt>
                <c:pt idx="121">
                  <c:v>15</c:v>
                </c:pt>
                <c:pt idx="122">
                  <c:v>20</c:v>
                </c:pt>
                <c:pt idx="123">
                  <c:v>20</c:v>
                </c:pt>
              </c:numCache>
            </c:numRef>
          </c:xVal>
          <c:yVal>
            <c:numRef>
              <c:f>Hoja1!$G$2:$G$125</c:f>
              <c:numCache>
                <c:formatCode>General</c:formatCode>
                <c:ptCount val="124"/>
                <c:pt idx="0">
                  <c:v>4.2</c:v>
                </c:pt>
                <c:pt idx="1">
                  <c:v>4.8</c:v>
                </c:pt>
                <c:pt idx="2">
                  <c:v>4.5</c:v>
                </c:pt>
                <c:pt idx="3">
                  <c:v>4.9000000000000004</c:v>
                </c:pt>
                <c:pt idx="4">
                  <c:v>3.8</c:v>
                </c:pt>
                <c:pt idx="5">
                  <c:v>4.4000000000000004</c:v>
                </c:pt>
                <c:pt idx="6">
                  <c:v>4.2</c:v>
                </c:pt>
                <c:pt idx="7">
                  <c:v>4.2</c:v>
                </c:pt>
                <c:pt idx="8">
                  <c:v>4.2</c:v>
                </c:pt>
                <c:pt idx="9">
                  <c:v>3.8</c:v>
                </c:pt>
                <c:pt idx="10">
                  <c:v>4.5</c:v>
                </c:pt>
                <c:pt idx="11">
                  <c:v>4.8</c:v>
                </c:pt>
                <c:pt idx="12">
                  <c:v>4.4000000000000004</c:v>
                </c:pt>
                <c:pt idx="13">
                  <c:v>4.8</c:v>
                </c:pt>
                <c:pt idx="14">
                  <c:v>3.6</c:v>
                </c:pt>
                <c:pt idx="15">
                  <c:v>4.5</c:v>
                </c:pt>
                <c:pt idx="16">
                  <c:v>4.9000000000000004</c:v>
                </c:pt>
                <c:pt idx="17">
                  <c:v>4.9000000000000004</c:v>
                </c:pt>
                <c:pt idx="18">
                  <c:v>3.8</c:v>
                </c:pt>
                <c:pt idx="19">
                  <c:v>4.4000000000000004</c:v>
                </c:pt>
                <c:pt idx="20">
                  <c:v>4.2</c:v>
                </c:pt>
                <c:pt idx="21">
                  <c:v>4.5</c:v>
                </c:pt>
                <c:pt idx="22">
                  <c:v>4.8</c:v>
                </c:pt>
                <c:pt idx="23">
                  <c:v>4.4000000000000004</c:v>
                </c:pt>
                <c:pt idx="24">
                  <c:v>4.8</c:v>
                </c:pt>
                <c:pt idx="25">
                  <c:v>3.6</c:v>
                </c:pt>
                <c:pt idx="26">
                  <c:v>4.5</c:v>
                </c:pt>
                <c:pt idx="27">
                  <c:v>4.9000000000000004</c:v>
                </c:pt>
                <c:pt idx="28">
                  <c:v>4.9000000000000004</c:v>
                </c:pt>
                <c:pt idx="29">
                  <c:v>3.8</c:v>
                </c:pt>
                <c:pt idx="30">
                  <c:v>4.4000000000000004</c:v>
                </c:pt>
                <c:pt idx="31">
                  <c:v>4.2</c:v>
                </c:pt>
                <c:pt idx="32">
                  <c:v>4.2</c:v>
                </c:pt>
                <c:pt idx="33">
                  <c:v>4.8</c:v>
                </c:pt>
                <c:pt idx="34">
                  <c:v>4.5</c:v>
                </c:pt>
                <c:pt idx="35">
                  <c:v>4.9000000000000004</c:v>
                </c:pt>
                <c:pt idx="36">
                  <c:v>3.8</c:v>
                </c:pt>
                <c:pt idx="37">
                  <c:v>4.4000000000000004</c:v>
                </c:pt>
                <c:pt idx="38">
                  <c:v>4.2</c:v>
                </c:pt>
                <c:pt idx="39">
                  <c:v>4.2</c:v>
                </c:pt>
                <c:pt idx="40">
                  <c:v>4.2</c:v>
                </c:pt>
                <c:pt idx="41">
                  <c:v>3.8</c:v>
                </c:pt>
                <c:pt idx="42">
                  <c:v>4.5</c:v>
                </c:pt>
                <c:pt idx="43">
                  <c:v>4.8</c:v>
                </c:pt>
                <c:pt idx="44">
                  <c:v>4.4000000000000004</c:v>
                </c:pt>
                <c:pt idx="45">
                  <c:v>4.8</c:v>
                </c:pt>
                <c:pt idx="46">
                  <c:v>3.6</c:v>
                </c:pt>
                <c:pt idx="47">
                  <c:v>4.5</c:v>
                </c:pt>
                <c:pt idx="48">
                  <c:v>4.9000000000000004</c:v>
                </c:pt>
                <c:pt idx="49">
                  <c:v>3.8</c:v>
                </c:pt>
                <c:pt idx="50">
                  <c:v>4.4000000000000004</c:v>
                </c:pt>
                <c:pt idx="51">
                  <c:v>4.2</c:v>
                </c:pt>
                <c:pt idx="52">
                  <c:v>4.2</c:v>
                </c:pt>
                <c:pt idx="53">
                  <c:v>4.2</c:v>
                </c:pt>
                <c:pt idx="54">
                  <c:v>4.8</c:v>
                </c:pt>
                <c:pt idx="55">
                  <c:v>4.4000000000000004</c:v>
                </c:pt>
                <c:pt idx="56">
                  <c:v>4.8</c:v>
                </c:pt>
                <c:pt idx="57">
                  <c:v>3.6</c:v>
                </c:pt>
                <c:pt idx="58">
                  <c:v>4.5</c:v>
                </c:pt>
                <c:pt idx="59">
                  <c:v>4.9000000000000004</c:v>
                </c:pt>
                <c:pt idx="60">
                  <c:v>4.9000000000000004</c:v>
                </c:pt>
                <c:pt idx="61">
                  <c:v>3.8</c:v>
                </c:pt>
                <c:pt idx="62">
                  <c:v>4.4000000000000004</c:v>
                </c:pt>
                <c:pt idx="63">
                  <c:v>4.2</c:v>
                </c:pt>
                <c:pt idx="64">
                  <c:v>4.5</c:v>
                </c:pt>
                <c:pt idx="65">
                  <c:v>4.8</c:v>
                </c:pt>
                <c:pt idx="66">
                  <c:v>4.4000000000000004</c:v>
                </c:pt>
                <c:pt idx="67">
                  <c:v>4.8</c:v>
                </c:pt>
                <c:pt idx="68">
                  <c:v>3.6</c:v>
                </c:pt>
                <c:pt idx="69">
                  <c:v>4.5</c:v>
                </c:pt>
                <c:pt idx="70">
                  <c:v>4.9000000000000004</c:v>
                </c:pt>
                <c:pt idx="71">
                  <c:v>4.9000000000000004</c:v>
                </c:pt>
                <c:pt idx="72">
                  <c:v>3.8</c:v>
                </c:pt>
                <c:pt idx="73">
                  <c:v>3.8</c:v>
                </c:pt>
                <c:pt idx="74">
                  <c:v>4.4000000000000004</c:v>
                </c:pt>
                <c:pt idx="75">
                  <c:v>4.2</c:v>
                </c:pt>
                <c:pt idx="76">
                  <c:v>4.5</c:v>
                </c:pt>
                <c:pt idx="77">
                  <c:v>4.8</c:v>
                </c:pt>
                <c:pt idx="78">
                  <c:v>4.4000000000000004</c:v>
                </c:pt>
                <c:pt idx="79">
                  <c:v>4.8</c:v>
                </c:pt>
                <c:pt idx="80">
                  <c:v>3.6</c:v>
                </c:pt>
                <c:pt idx="81">
                  <c:v>4.5</c:v>
                </c:pt>
                <c:pt idx="82">
                  <c:v>4.9000000000000004</c:v>
                </c:pt>
                <c:pt idx="83">
                  <c:v>3.8</c:v>
                </c:pt>
                <c:pt idx="84">
                  <c:v>4.4000000000000004</c:v>
                </c:pt>
                <c:pt idx="85">
                  <c:v>4.2</c:v>
                </c:pt>
                <c:pt idx="86">
                  <c:v>4.2</c:v>
                </c:pt>
                <c:pt idx="87">
                  <c:v>4.2</c:v>
                </c:pt>
                <c:pt idx="88">
                  <c:v>3.8</c:v>
                </c:pt>
                <c:pt idx="89">
                  <c:v>4.5</c:v>
                </c:pt>
                <c:pt idx="90">
                  <c:v>4.8</c:v>
                </c:pt>
                <c:pt idx="91">
                  <c:v>4.4000000000000004</c:v>
                </c:pt>
                <c:pt idx="92">
                  <c:v>4.8</c:v>
                </c:pt>
                <c:pt idx="93">
                  <c:v>3.6</c:v>
                </c:pt>
                <c:pt idx="94">
                  <c:v>4.5</c:v>
                </c:pt>
                <c:pt idx="95">
                  <c:v>4.9000000000000004</c:v>
                </c:pt>
                <c:pt idx="96">
                  <c:v>4.9000000000000004</c:v>
                </c:pt>
                <c:pt idx="97">
                  <c:v>3.8</c:v>
                </c:pt>
                <c:pt idx="98">
                  <c:v>4.4000000000000004</c:v>
                </c:pt>
                <c:pt idx="99">
                  <c:v>4.2</c:v>
                </c:pt>
                <c:pt idx="100">
                  <c:v>4.5</c:v>
                </c:pt>
                <c:pt idx="101">
                  <c:v>4.8</c:v>
                </c:pt>
                <c:pt idx="102">
                  <c:v>4.4000000000000004</c:v>
                </c:pt>
                <c:pt idx="103">
                  <c:v>4.8</c:v>
                </c:pt>
                <c:pt idx="104">
                  <c:v>3.6</c:v>
                </c:pt>
                <c:pt idx="105">
                  <c:v>4.5</c:v>
                </c:pt>
                <c:pt idx="106">
                  <c:v>4.9000000000000004</c:v>
                </c:pt>
                <c:pt idx="107">
                  <c:v>4.9000000000000004</c:v>
                </c:pt>
                <c:pt idx="108">
                  <c:v>3.8</c:v>
                </c:pt>
                <c:pt idx="109">
                  <c:v>4.4000000000000004</c:v>
                </c:pt>
                <c:pt idx="110">
                  <c:v>4.2</c:v>
                </c:pt>
                <c:pt idx="111">
                  <c:v>4.5</c:v>
                </c:pt>
                <c:pt idx="112">
                  <c:v>4.8</c:v>
                </c:pt>
                <c:pt idx="113">
                  <c:v>4.4000000000000004</c:v>
                </c:pt>
                <c:pt idx="114">
                  <c:v>4.8</c:v>
                </c:pt>
                <c:pt idx="115">
                  <c:v>4.5</c:v>
                </c:pt>
                <c:pt idx="116">
                  <c:v>4.9000000000000004</c:v>
                </c:pt>
                <c:pt idx="117">
                  <c:v>4.9000000000000004</c:v>
                </c:pt>
                <c:pt idx="118">
                  <c:v>4.4000000000000004</c:v>
                </c:pt>
                <c:pt idx="119">
                  <c:v>4.2</c:v>
                </c:pt>
                <c:pt idx="120">
                  <c:v>4.5</c:v>
                </c:pt>
                <c:pt idx="121">
                  <c:v>4.8</c:v>
                </c:pt>
                <c:pt idx="122">
                  <c:v>4.4000000000000004</c:v>
                </c:pt>
                <c:pt idx="123">
                  <c:v>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91-4804-9975-E5548F0E4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009071"/>
        <c:axId val="237989871"/>
      </c:scatterChart>
      <c:valAx>
        <c:axId val="23800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_);[Red]\(&quot;€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7989871"/>
        <c:crosses val="autoZero"/>
        <c:crossBetween val="midCat"/>
      </c:valAx>
      <c:valAx>
        <c:axId val="23798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8009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FRECUENCIA</a:t>
            </a:r>
            <a:r>
              <a:rPr lang="en-US" b="1" baseline="0"/>
              <a:t> RELATIVA (Fr)</a:t>
            </a:r>
          </a:p>
        </c:rich>
      </c:tx>
      <c:layout>
        <c:manualLayout>
          <c:xMode val="edge"/>
          <c:yMode val="edge"/>
          <c:x val="0.27596522309711291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A72-4212-A19E-CA507E8BD1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06B-441B-AB30-680E7EA87D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06B-441B-AB30-680E7EA87D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06B-441B-AB30-680E7EA87D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06B-441B-AB30-680E7EA87D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DISTR. FRECU.'!$F$2:$F$6</c:f>
              <c:strCache>
                <c:ptCount val="5"/>
                <c:pt idx="0">
                  <c:v>Muy Bajo</c:v>
                </c:pt>
                <c:pt idx="1">
                  <c:v>Bajo</c:v>
                </c:pt>
                <c:pt idx="2">
                  <c:v>Medio</c:v>
                </c:pt>
                <c:pt idx="3">
                  <c:v>Alto </c:v>
                </c:pt>
                <c:pt idx="4">
                  <c:v>Muy alto</c:v>
                </c:pt>
              </c:strCache>
            </c:strRef>
          </c:cat>
          <c:val>
            <c:numRef>
              <c:f>'TABLA DISTR. FRECU.'!$J$2:$J$6</c:f>
              <c:numCache>
                <c:formatCode>0.00</c:formatCode>
                <c:ptCount val="5"/>
                <c:pt idx="0">
                  <c:v>23.387096774193548</c:v>
                </c:pt>
                <c:pt idx="1">
                  <c:v>15.32258064516129</c:v>
                </c:pt>
                <c:pt idx="2">
                  <c:v>24.193548387096776</c:v>
                </c:pt>
                <c:pt idx="3">
                  <c:v>17.741935483870968</c:v>
                </c:pt>
                <c:pt idx="4">
                  <c:v>19.35483870967742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2-4212-A19E-CA507E8BD1C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DISPERSIÓN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Hoja3!$B$1</c:f>
              <c:strCache>
                <c:ptCount val="1"/>
                <c:pt idx="0">
                  <c:v>TALLA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Hoja3!$A$2:$A$125</c:f>
              <c:numCache>
                <c:formatCode>#,##0.0\ _€</c:formatCode>
                <c:ptCount val="124"/>
                <c:pt idx="0">
                  <c:v>20</c:v>
                </c:pt>
                <c:pt idx="1">
                  <c:v>15</c:v>
                </c:pt>
                <c:pt idx="2">
                  <c:v>20</c:v>
                </c:pt>
                <c:pt idx="3">
                  <c:v>20</c:v>
                </c:pt>
                <c:pt idx="4">
                  <c:v>18</c:v>
                </c:pt>
                <c:pt idx="5">
                  <c:v>15</c:v>
                </c:pt>
                <c:pt idx="6">
                  <c:v>15</c:v>
                </c:pt>
                <c:pt idx="7">
                  <c:v>20</c:v>
                </c:pt>
                <c:pt idx="8">
                  <c:v>15</c:v>
                </c:pt>
                <c:pt idx="9">
                  <c:v>15</c:v>
                </c:pt>
                <c:pt idx="10">
                  <c:v>20</c:v>
                </c:pt>
                <c:pt idx="11">
                  <c:v>15</c:v>
                </c:pt>
                <c:pt idx="12">
                  <c:v>15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15</c:v>
                </c:pt>
                <c:pt idx="17">
                  <c:v>18</c:v>
                </c:pt>
                <c:pt idx="18">
                  <c:v>18</c:v>
                </c:pt>
                <c:pt idx="19">
                  <c:v>20</c:v>
                </c:pt>
                <c:pt idx="20">
                  <c:v>20</c:v>
                </c:pt>
                <c:pt idx="21">
                  <c:v>18</c:v>
                </c:pt>
                <c:pt idx="22">
                  <c:v>15</c:v>
                </c:pt>
                <c:pt idx="23">
                  <c:v>18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20</c:v>
                </c:pt>
                <c:pt idx="29">
                  <c:v>15</c:v>
                </c:pt>
                <c:pt idx="30">
                  <c:v>20</c:v>
                </c:pt>
                <c:pt idx="31">
                  <c:v>20</c:v>
                </c:pt>
                <c:pt idx="32">
                  <c:v>15</c:v>
                </c:pt>
                <c:pt idx="33">
                  <c:v>15</c:v>
                </c:pt>
                <c:pt idx="34">
                  <c:v>20</c:v>
                </c:pt>
                <c:pt idx="35">
                  <c:v>15</c:v>
                </c:pt>
                <c:pt idx="36">
                  <c:v>15</c:v>
                </c:pt>
                <c:pt idx="37">
                  <c:v>20</c:v>
                </c:pt>
                <c:pt idx="38">
                  <c:v>20</c:v>
                </c:pt>
                <c:pt idx="39">
                  <c:v>15</c:v>
                </c:pt>
                <c:pt idx="40">
                  <c:v>20</c:v>
                </c:pt>
                <c:pt idx="41">
                  <c:v>15</c:v>
                </c:pt>
                <c:pt idx="42">
                  <c:v>18</c:v>
                </c:pt>
                <c:pt idx="43">
                  <c:v>18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15</c:v>
                </c:pt>
                <c:pt idx="49">
                  <c:v>20</c:v>
                </c:pt>
                <c:pt idx="50">
                  <c:v>18</c:v>
                </c:pt>
                <c:pt idx="51">
                  <c:v>20</c:v>
                </c:pt>
                <c:pt idx="52">
                  <c:v>15</c:v>
                </c:pt>
                <c:pt idx="53">
                  <c:v>18</c:v>
                </c:pt>
                <c:pt idx="54">
                  <c:v>15</c:v>
                </c:pt>
                <c:pt idx="55">
                  <c:v>15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18</c:v>
                </c:pt>
                <c:pt idx="60">
                  <c:v>20</c:v>
                </c:pt>
                <c:pt idx="61">
                  <c:v>15</c:v>
                </c:pt>
                <c:pt idx="62">
                  <c:v>20</c:v>
                </c:pt>
                <c:pt idx="63">
                  <c:v>20</c:v>
                </c:pt>
                <c:pt idx="64">
                  <c:v>15</c:v>
                </c:pt>
                <c:pt idx="65">
                  <c:v>20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18</c:v>
                </c:pt>
                <c:pt idx="71">
                  <c:v>20</c:v>
                </c:pt>
                <c:pt idx="72">
                  <c:v>18</c:v>
                </c:pt>
                <c:pt idx="73">
                  <c:v>18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15</c:v>
                </c:pt>
                <c:pt idx="78">
                  <c:v>15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18</c:v>
                </c:pt>
                <c:pt idx="86">
                  <c:v>20</c:v>
                </c:pt>
                <c:pt idx="87">
                  <c:v>15</c:v>
                </c:pt>
                <c:pt idx="88">
                  <c:v>18</c:v>
                </c:pt>
                <c:pt idx="89">
                  <c:v>20</c:v>
                </c:pt>
                <c:pt idx="90">
                  <c:v>18</c:v>
                </c:pt>
                <c:pt idx="91">
                  <c:v>15</c:v>
                </c:pt>
                <c:pt idx="92">
                  <c:v>15</c:v>
                </c:pt>
                <c:pt idx="93">
                  <c:v>18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15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15</c:v>
                </c:pt>
                <c:pt idx="102">
                  <c:v>18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20</c:v>
                </c:pt>
                <c:pt idx="109">
                  <c:v>15</c:v>
                </c:pt>
                <c:pt idx="110">
                  <c:v>20</c:v>
                </c:pt>
                <c:pt idx="111">
                  <c:v>20</c:v>
                </c:pt>
                <c:pt idx="112">
                  <c:v>18</c:v>
                </c:pt>
                <c:pt idx="113">
                  <c:v>20</c:v>
                </c:pt>
                <c:pt idx="114">
                  <c:v>15</c:v>
                </c:pt>
                <c:pt idx="115">
                  <c:v>20</c:v>
                </c:pt>
                <c:pt idx="116">
                  <c:v>15</c:v>
                </c:pt>
                <c:pt idx="117">
                  <c:v>15</c:v>
                </c:pt>
                <c:pt idx="118">
                  <c:v>18</c:v>
                </c:pt>
                <c:pt idx="119">
                  <c:v>18</c:v>
                </c:pt>
                <c:pt idx="120">
                  <c:v>15</c:v>
                </c:pt>
                <c:pt idx="121">
                  <c:v>15</c:v>
                </c:pt>
                <c:pt idx="122">
                  <c:v>20</c:v>
                </c:pt>
                <c:pt idx="123">
                  <c:v>20</c:v>
                </c:pt>
              </c:numCache>
            </c:numRef>
          </c:xVal>
          <c:yVal>
            <c:numRef>
              <c:f>Hoja3!$B$2:$B$125</c:f>
              <c:numCache>
                <c:formatCode>General</c:formatCode>
                <c:ptCount val="124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4</c:v>
                </c:pt>
                <c:pt idx="4">
                  <c:v>12</c:v>
                </c:pt>
                <c:pt idx="5">
                  <c:v>14</c:v>
                </c:pt>
                <c:pt idx="6">
                  <c:v>4</c:v>
                </c:pt>
                <c:pt idx="7">
                  <c:v>6</c:v>
                </c:pt>
                <c:pt idx="8">
                  <c:v>12</c:v>
                </c:pt>
                <c:pt idx="9">
                  <c:v>4</c:v>
                </c:pt>
                <c:pt idx="10">
                  <c:v>8</c:v>
                </c:pt>
                <c:pt idx="11">
                  <c:v>14</c:v>
                </c:pt>
                <c:pt idx="12">
                  <c:v>6</c:v>
                </c:pt>
                <c:pt idx="13">
                  <c:v>14</c:v>
                </c:pt>
                <c:pt idx="14">
                  <c:v>6</c:v>
                </c:pt>
                <c:pt idx="15">
                  <c:v>8</c:v>
                </c:pt>
                <c:pt idx="16">
                  <c:v>12</c:v>
                </c:pt>
                <c:pt idx="17">
                  <c:v>4</c:v>
                </c:pt>
                <c:pt idx="18">
                  <c:v>6</c:v>
                </c:pt>
                <c:pt idx="19">
                  <c:v>12</c:v>
                </c:pt>
                <c:pt idx="20">
                  <c:v>4</c:v>
                </c:pt>
                <c:pt idx="21">
                  <c:v>8</c:v>
                </c:pt>
                <c:pt idx="22">
                  <c:v>10</c:v>
                </c:pt>
                <c:pt idx="23">
                  <c:v>6</c:v>
                </c:pt>
                <c:pt idx="24">
                  <c:v>12</c:v>
                </c:pt>
                <c:pt idx="25">
                  <c:v>14</c:v>
                </c:pt>
                <c:pt idx="26">
                  <c:v>6</c:v>
                </c:pt>
                <c:pt idx="27">
                  <c:v>4</c:v>
                </c:pt>
                <c:pt idx="28">
                  <c:v>10</c:v>
                </c:pt>
                <c:pt idx="29">
                  <c:v>8</c:v>
                </c:pt>
                <c:pt idx="30">
                  <c:v>14</c:v>
                </c:pt>
                <c:pt idx="31">
                  <c:v>6</c:v>
                </c:pt>
                <c:pt idx="32">
                  <c:v>4</c:v>
                </c:pt>
                <c:pt idx="33">
                  <c:v>6</c:v>
                </c:pt>
                <c:pt idx="34">
                  <c:v>12</c:v>
                </c:pt>
                <c:pt idx="35">
                  <c:v>10</c:v>
                </c:pt>
                <c:pt idx="36">
                  <c:v>4</c:v>
                </c:pt>
                <c:pt idx="37">
                  <c:v>6</c:v>
                </c:pt>
                <c:pt idx="38">
                  <c:v>8</c:v>
                </c:pt>
                <c:pt idx="39">
                  <c:v>4</c:v>
                </c:pt>
                <c:pt idx="40">
                  <c:v>10</c:v>
                </c:pt>
                <c:pt idx="41">
                  <c:v>14</c:v>
                </c:pt>
                <c:pt idx="42">
                  <c:v>6</c:v>
                </c:pt>
                <c:pt idx="43">
                  <c:v>8</c:v>
                </c:pt>
                <c:pt idx="44">
                  <c:v>10</c:v>
                </c:pt>
                <c:pt idx="45">
                  <c:v>12</c:v>
                </c:pt>
                <c:pt idx="46">
                  <c:v>4</c:v>
                </c:pt>
                <c:pt idx="47">
                  <c:v>6</c:v>
                </c:pt>
                <c:pt idx="48">
                  <c:v>14</c:v>
                </c:pt>
                <c:pt idx="49">
                  <c:v>6</c:v>
                </c:pt>
                <c:pt idx="50">
                  <c:v>8</c:v>
                </c:pt>
                <c:pt idx="51">
                  <c:v>10</c:v>
                </c:pt>
                <c:pt idx="52">
                  <c:v>12</c:v>
                </c:pt>
                <c:pt idx="53">
                  <c:v>4</c:v>
                </c:pt>
                <c:pt idx="54">
                  <c:v>6</c:v>
                </c:pt>
                <c:pt idx="55">
                  <c:v>10</c:v>
                </c:pt>
                <c:pt idx="56">
                  <c:v>4</c:v>
                </c:pt>
                <c:pt idx="57">
                  <c:v>8</c:v>
                </c:pt>
                <c:pt idx="58">
                  <c:v>8</c:v>
                </c:pt>
                <c:pt idx="59">
                  <c:v>4</c:v>
                </c:pt>
                <c:pt idx="60">
                  <c:v>6</c:v>
                </c:pt>
                <c:pt idx="61">
                  <c:v>12</c:v>
                </c:pt>
                <c:pt idx="62">
                  <c:v>14</c:v>
                </c:pt>
                <c:pt idx="63">
                  <c:v>4</c:v>
                </c:pt>
                <c:pt idx="64">
                  <c:v>10</c:v>
                </c:pt>
                <c:pt idx="65">
                  <c:v>8</c:v>
                </c:pt>
                <c:pt idx="66">
                  <c:v>6</c:v>
                </c:pt>
                <c:pt idx="67">
                  <c:v>4</c:v>
                </c:pt>
                <c:pt idx="68">
                  <c:v>8</c:v>
                </c:pt>
                <c:pt idx="69">
                  <c:v>12</c:v>
                </c:pt>
                <c:pt idx="70">
                  <c:v>4</c:v>
                </c:pt>
                <c:pt idx="71">
                  <c:v>12</c:v>
                </c:pt>
                <c:pt idx="72">
                  <c:v>6</c:v>
                </c:pt>
                <c:pt idx="73">
                  <c:v>14</c:v>
                </c:pt>
                <c:pt idx="74">
                  <c:v>8</c:v>
                </c:pt>
                <c:pt idx="75">
                  <c:v>4</c:v>
                </c:pt>
                <c:pt idx="76">
                  <c:v>10</c:v>
                </c:pt>
                <c:pt idx="77">
                  <c:v>8</c:v>
                </c:pt>
                <c:pt idx="78">
                  <c:v>6</c:v>
                </c:pt>
                <c:pt idx="79">
                  <c:v>4</c:v>
                </c:pt>
                <c:pt idx="80">
                  <c:v>12</c:v>
                </c:pt>
                <c:pt idx="81">
                  <c:v>6</c:v>
                </c:pt>
                <c:pt idx="82">
                  <c:v>14</c:v>
                </c:pt>
                <c:pt idx="83">
                  <c:v>6</c:v>
                </c:pt>
                <c:pt idx="84">
                  <c:v>8</c:v>
                </c:pt>
                <c:pt idx="85">
                  <c:v>10</c:v>
                </c:pt>
                <c:pt idx="86">
                  <c:v>6</c:v>
                </c:pt>
                <c:pt idx="87">
                  <c:v>8</c:v>
                </c:pt>
                <c:pt idx="88">
                  <c:v>6</c:v>
                </c:pt>
                <c:pt idx="89">
                  <c:v>12</c:v>
                </c:pt>
                <c:pt idx="90">
                  <c:v>4</c:v>
                </c:pt>
                <c:pt idx="91">
                  <c:v>14</c:v>
                </c:pt>
                <c:pt idx="92">
                  <c:v>8</c:v>
                </c:pt>
                <c:pt idx="93">
                  <c:v>12</c:v>
                </c:pt>
                <c:pt idx="94">
                  <c:v>8</c:v>
                </c:pt>
                <c:pt idx="95">
                  <c:v>4</c:v>
                </c:pt>
                <c:pt idx="96">
                  <c:v>10</c:v>
                </c:pt>
                <c:pt idx="97">
                  <c:v>12</c:v>
                </c:pt>
                <c:pt idx="98">
                  <c:v>8</c:v>
                </c:pt>
                <c:pt idx="99">
                  <c:v>6</c:v>
                </c:pt>
                <c:pt idx="100">
                  <c:v>12</c:v>
                </c:pt>
                <c:pt idx="101">
                  <c:v>4</c:v>
                </c:pt>
                <c:pt idx="102">
                  <c:v>10</c:v>
                </c:pt>
                <c:pt idx="103">
                  <c:v>12</c:v>
                </c:pt>
                <c:pt idx="104">
                  <c:v>6</c:v>
                </c:pt>
                <c:pt idx="105">
                  <c:v>8</c:v>
                </c:pt>
                <c:pt idx="106">
                  <c:v>4</c:v>
                </c:pt>
                <c:pt idx="107">
                  <c:v>8</c:v>
                </c:pt>
                <c:pt idx="108">
                  <c:v>10</c:v>
                </c:pt>
                <c:pt idx="109">
                  <c:v>14</c:v>
                </c:pt>
                <c:pt idx="110">
                  <c:v>4</c:v>
                </c:pt>
                <c:pt idx="111">
                  <c:v>6</c:v>
                </c:pt>
                <c:pt idx="112">
                  <c:v>8</c:v>
                </c:pt>
                <c:pt idx="113">
                  <c:v>6</c:v>
                </c:pt>
                <c:pt idx="114">
                  <c:v>12</c:v>
                </c:pt>
                <c:pt idx="115">
                  <c:v>14</c:v>
                </c:pt>
                <c:pt idx="116">
                  <c:v>8</c:v>
                </c:pt>
                <c:pt idx="117">
                  <c:v>4</c:v>
                </c:pt>
                <c:pt idx="118">
                  <c:v>6</c:v>
                </c:pt>
                <c:pt idx="119">
                  <c:v>14</c:v>
                </c:pt>
                <c:pt idx="120">
                  <c:v>10</c:v>
                </c:pt>
                <c:pt idx="121">
                  <c:v>4</c:v>
                </c:pt>
                <c:pt idx="122">
                  <c:v>6</c:v>
                </c:pt>
                <c:pt idx="1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29-4860-9393-1904749E2AC9}"/>
            </c:ext>
          </c:extLst>
        </c:ser>
        <c:ser>
          <c:idx val="1"/>
          <c:order val="1"/>
          <c:tx>
            <c:strRef>
              <c:f>Hoja3!$C$1</c:f>
              <c:strCache>
                <c:ptCount val="1"/>
                <c:pt idx="0">
                  <c:v>Nivel de Ventas (unidades)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Hoja3!$A$2:$A$125</c:f>
              <c:numCache>
                <c:formatCode>#,##0.0\ _€</c:formatCode>
                <c:ptCount val="124"/>
                <c:pt idx="0">
                  <c:v>20</c:v>
                </c:pt>
                <c:pt idx="1">
                  <c:v>15</c:v>
                </c:pt>
                <c:pt idx="2">
                  <c:v>20</c:v>
                </c:pt>
                <c:pt idx="3">
                  <c:v>20</c:v>
                </c:pt>
                <c:pt idx="4">
                  <c:v>18</c:v>
                </c:pt>
                <c:pt idx="5">
                  <c:v>15</c:v>
                </c:pt>
                <c:pt idx="6">
                  <c:v>15</c:v>
                </c:pt>
                <c:pt idx="7">
                  <c:v>20</c:v>
                </c:pt>
                <c:pt idx="8">
                  <c:v>15</c:v>
                </c:pt>
                <c:pt idx="9">
                  <c:v>15</c:v>
                </c:pt>
                <c:pt idx="10">
                  <c:v>20</c:v>
                </c:pt>
                <c:pt idx="11">
                  <c:v>15</c:v>
                </c:pt>
                <c:pt idx="12">
                  <c:v>15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15</c:v>
                </c:pt>
                <c:pt idx="17">
                  <c:v>18</c:v>
                </c:pt>
                <c:pt idx="18">
                  <c:v>18</c:v>
                </c:pt>
                <c:pt idx="19">
                  <c:v>20</c:v>
                </c:pt>
                <c:pt idx="20">
                  <c:v>20</c:v>
                </c:pt>
                <c:pt idx="21">
                  <c:v>18</c:v>
                </c:pt>
                <c:pt idx="22">
                  <c:v>15</c:v>
                </c:pt>
                <c:pt idx="23">
                  <c:v>18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20</c:v>
                </c:pt>
                <c:pt idx="29">
                  <c:v>15</c:v>
                </c:pt>
                <c:pt idx="30">
                  <c:v>20</c:v>
                </c:pt>
                <c:pt idx="31">
                  <c:v>20</c:v>
                </c:pt>
                <c:pt idx="32">
                  <c:v>15</c:v>
                </c:pt>
                <c:pt idx="33">
                  <c:v>15</c:v>
                </c:pt>
                <c:pt idx="34">
                  <c:v>20</c:v>
                </c:pt>
                <c:pt idx="35">
                  <c:v>15</c:v>
                </c:pt>
                <c:pt idx="36">
                  <c:v>15</c:v>
                </c:pt>
                <c:pt idx="37">
                  <c:v>20</c:v>
                </c:pt>
                <c:pt idx="38">
                  <c:v>20</c:v>
                </c:pt>
                <c:pt idx="39">
                  <c:v>15</c:v>
                </c:pt>
                <c:pt idx="40">
                  <c:v>20</c:v>
                </c:pt>
                <c:pt idx="41">
                  <c:v>15</c:v>
                </c:pt>
                <c:pt idx="42">
                  <c:v>18</c:v>
                </c:pt>
                <c:pt idx="43">
                  <c:v>18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15</c:v>
                </c:pt>
                <c:pt idx="49">
                  <c:v>20</c:v>
                </c:pt>
                <c:pt idx="50">
                  <c:v>18</c:v>
                </c:pt>
                <c:pt idx="51">
                  <c:v>20</c:v>
                </c:pt>
                <c:pt idx="52">
                  <c:v>15</c:v>
                </c:pt>
                <c:pt idx="53">
                  <c:v>18</c:v>
                </c:pt>
                <c:pt idx="54">
                  <c:v>15</c:v>
                </c:pt>
                <c:pt idx="55">
                  <c:v>15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18</c:v>
                </c:pt>
                <c:pt idx="60">
                  <c:v>20</c:v>
                </c:pt>
                <c:pt idx="61">
                  <c:v>15</c:v>
                </c:pt>
                <c:pt idx="62">
                  <c:v>20</c:v>
                </c:pt>
                <c:pt idx="63">
                  <c:v>20</c:v>
                </c:pt>
                <c:pt idx="64">
                  <c:v>15</c:v>
                </c:pt>
                <c:pt idx="65">
                  <c:v>20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18</c:v>
                </c:pt>
                <c:pt idx="71">
                  <c:v>20</c:v>
                </c:pt>
                <c:pt idx="72">
                  <c:v>18</c:v>
                </c:pt>
                <c:pt idx="73">
                  <c:v>18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15</c:v>
                </c:pt>
                <c:pt idx="78">
                  <c:v>15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18</c:v>
                </c:pt>
                <c:pt idx="86">
                  <c:v>20</c:v>
                </c:pt>
                <c:pt idx="87">
                  <c:v>15</c:v>
                </c:pt>
                <c:pt idx="88">
                  <c:v>18</c:v>
                </c:pt>
                <c:pt idx="89">
                  <c:v>20</c:v>
                </c:pt>
                <c:pt idx="90">
                  <c:v>18</c:v>
                </c:pt>
                <c:pt idx="91">
                  <c:v>15</c:v>
                </c:pt>
                <c:pt idx="92">
                  <c:v>15</c:v>
                </c:pt>
                <c:pt idx="93">
                  <c:v>18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15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15</c:v>
                </c:pt>
                <c:pt idx="102">
                  <c:v>18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20</c:v>
                </c:pt>
                <c:pt idx="109">
                  <c:v>15</c:v>
                </c:pt>
                <c:pt idx="110">
                  <c:v>20</c:v>
                </c:pt>
                <c:pt idx="111">
                  <c:v>20</c:v>
                </c:pt>
                <c:pt idx="112">
                  <c:v>18</c:v>
                </c:pt>
                <c:pt idx="113">
                  <c:v>20</c:v>
                </c:pt>
                <c:pt idx="114">
                  <c:v>15</c:v>
                </c:pt>
                <c:pt idx="115">
                  <c:v>20</c:v>
                </c:pt>
                <c:pt idx="116">
                  <c:v>15</c:v>
                </c:pt>
                <c:pt idx="117">
                  <c:v>15</c:v>
                </c:pt>
                <c:pt idx="118">
                  <c:v>18</c:v>
                </c:pt>
                <c:pt idx="119">
                  <c:v>18</c:v>
                </c:pt>
                <c:pt idx="120">
                  <c:v>15</c:v>
                </c:pt>
                <c:pt idx="121">
                  <c:v>15</c:v>
                </c:pt>
                <c:pt idx="122">
                  <c:v>20</c:v>
                </c:pt>
                <c:pt idx="123">
                  <c:v>20</c:v>
                </c:pt>
              </c:numCache>
            </c:numRef>
          </c:xVal>
          <c:yVal>
            <c:numRef>
              <c:f>Hoja3!$C$2:$C$125</c:f>
              <c:numCache>
                <c:formatCode>General</c:formatCode>
                <c:ptCount val="124"/>
                <c:pt idx="0">
                  <c:v>41</c:v>
                </c:pt>
                <c:pt idx="1">
                  <c:v>57</c:v>
                </c:pt>
                <c:pt idx="2">
                  <c:v>53</c:v>
                </c:pt>
                <c:pt idx="3">
                  <c:v>40</c:v>
                </c:pt>
                <c:pt idx="4">
                  <c:v>29</c:v>
                </c:pt>
                <c:pt idx="5">
                  <c:v>32</c:v>
                </c:pt>
                <c:pt idx="6">
                  <c:v>27</c:v>
                </c:pt>
                <c:pt idx="7">
                  <c:v>46</c:v>
                </c:pt>
                <c:pt idx="8">
                  <c:v>60</c:v>
                </c:pt>
                <c:pt idx="9">
                  <c:v>25</c:v>
                </c:pt>
                <c:pt idx="10">
                  <c:v>43</c:v>
                </c:pt>
                <c:pt idx="11">
                  <c:v>40</c:v>
                </c:pt>
                <c:pt idx="12">
                  <c:v>26</c:v>
                </c:pt>
                <c:pt idx="13">
                  <c:v>47</c:v>
                </c:pt>
                <c:pt idx="14">
                  <c:v>46</c:v>
                </c:pt>
                <c:pt idx="15">
                  <c:v>31</c:v>
                </c:pt>
                <c:pt idx="16">
                  <c:v>33</c:v>
                </c:pt>
                <c:pt idx="17">
                  <c:v>53</c:v>
                </c:pt>
                <c:pt idx="18">
                  <c:v>35</c:v>
                </c:pt>
                <c:pt idx="19">
                  <c:v>29</c:v>
                </c:pt>
                <c:pt idx="20">
                  <c:v>29</c:v>
                </c:pt>
                <c:pt idx="21">
                  <c:v>39</c:v>
                </c:pt>
                <c:pt idx="22">
                  <c:v>31</c:v>
                </c:pt>
                <c:pt idx="23">
                  <c:v>57</c:v>
                </c:pt>
                <c:pt idx="24">
                  <c:v>44</c:v>
                </c:pt>
                <c:pt idx="25">
                  <c:v>55</c:v>
                </c:pt>
                <c:pt idx="26">
                  <c:v>48</c:v>
                </c:pt>
                <c:pt idx="27">
                  <c:v>37</c:v>
                </c:pt>
                <c:pt idx="28">
                  <c:v>50</c:v>
                </c:pt>
                <c:pt idx="29">
                  <c:v>56</c:v>
                </c:pt>
                <c:pt idx="30">
                  <c:v>33</c:v>
                </c:pt>
                <c:pt idx="31">
                  <c:v>39</c:v>
                </c:pt>
                <c:pt idx="32">
                  <c:v>33</c:v>
                </c:pt>
                <c:pt idx="33">
                  <c:v>26</c:v>
                </c:pt>
                <c:pt idx="34">
                  <c:v>25</c:v>
                </c:pt>
                <c:pt idx="35">
                  <c:v>57</c:v>
                </c:pt>
                <c:pt idx="36">
                  <c:v>35</c:v>
                </c:pt>
                <c:pt idx="37">
                  <c:v>49</c:v>
                </c:pt>
                <c:pt idx="38">
                  <c:v>58</c:v>
                </c:pt>
                <c:pt idx="39">
                  <c:v>35</c:v>
                </c:pt>
                <c:pt idx="40">
                  <c:v>41</c:v>
                </c:pt>
                <c:pt idx="41">
                  <c:v>46</c:v>
                </c:pt>
                <c:pt idx="42">
                  <c:v>48</c:v>
                </c:pt>
                <c:pt idx="43">
                  <c:v>30</c:v>
                </c:pt>
                <c:pt idx="44">
                  <c:v>51</c:v>
                </c:pt>
                <c:pt idx="45">
                  <c:v>55</c:v>
                </c:pt>
                <c:pt idx="46">
                  <c:v>59</c:v>
                </c:pt>
                <c:pt idx="47">
                  <c:v>52</c:v>
                </c:pt>
                <c:pt idx="48">
                  <c:v>25</c:v>
                </c:pt>
                <c:pt idx="49">
                  <c:v>44</c:v>
                </c:pt>
                <c:pt idx="50">
                  <c:v>49</c:v>
                </c:pt>
                <c:pt idx="51">
                  <c:v>54</c:v>
                </c:pt>
                <c:pt idx="52">
                  <c:v>38</c:v>
                </c:pt>
                <c:pt idx="53">
                  <c:v>27</c:v>
                </c:pt>
                <c:pt idx="54">
                  <c:v>56</c:v>
                </c:pt>
                <c:pt idx="55">
                  <c:v>33</c:v>
                </c:pt>
                <c:pt idx="56">
                  <c:v>48</c:v>
                </c:pt>
                <c:pt idx="57">
                  <c:v>37</c:v>
                </c:pt>
                <c:pt idx="58">
                  <c:v>25</c:v>
                </c:pt>
                <c:pt idx="59">
                  <c:v>51</c:v>
                </c:pt>
                <c:pt idx="60">
                  <c:v>57</c:v>
                </c:pt>
                <c:pt idx="61">
                  <c:v>54</c:v>
                </c:pt>
                <c:pt idx="62">
                  <c:v>33</c:v>
                </c:pt>
                <c:pt idx="63">
                  <c:v>27</c:v>
                </c:pt>
                <c:pt idx="64">
                  <c:v>39</c:v>
                </c:pt>
                <c:pt idx="65">
                  <c:v>27</c:v>
                </c:pt>
                <c:pt idx="66">
                  <c:v>45</c:v>
                </c:pt>
                <c:pt idx="67">
                  <c:v>47</c:v>
                </c:pt>
                <c:pt idx="68">
                  <c:v>51</c:v>
                </c:pt>
                <c:pt idx="69">
                  <c:v>32</c:v>
                </c:pt>
                <c:pt idx="70">
                  <c:v>32</c:v>
                </c:pt>
                <c:pt idx="71">
                  <c:v>48</c:v>
                </c:pt>
                <c:pt idx="72">
                  <c:v>47</c:v>
                </c:pt>
                <c:pt idx="73">
                  <c:v>37</c:v>
                </c:pt>
                <c:pt idx="74">
                  <c:v>37</c:v>
                </c:pt>
                <c:pt idx="75">
                  <c:v>59</c:v>
                </c:pt>
                <c:pt idx="76">
                  <c:v>44</c:v>
                </c:pt>
                <c:pt idx="77">
                  <c:v>49</c:v>
                </c:pt>
                <c:pt idx="78">
                  <c:v>30</c:v>
                </c:pt>
                <c:pt idx="79">
                  <c:v>45</c:v>
                </c:pt>
                <c:pt idx="80">
                  <c:v>58</c:v>
                </c:pt>
                <c:pt idx="81">
                  <c:v>51</c:v>
                </c:pt>
                <c:pt idx="82">
                  <c:v>48</c:v>
                </c:pt>
                <c:pt idx="83">
                  <c:v>41</c:v>
                </c:pt>
                <c:pt idx="84">
                  <c:v>42</c:v>
                </c:pt>
                <c:pt idx="85">
                  <c:v>58</c:v>
                </c:pt>
                <c:pt idx="86">
                  <c:v>46</c:v>
                </c:pt>
                <c:pt idx="87">
                  <c:v>50</c:v>
                </c:pt>
                <c:pt idx="88">
                  <c:v>60</c:v>
                </c:pt>
                <c:pt idx="89">
                  <c:v>55</c:v>
                </c:pt>
                <c:pt idx="90">
                  <c:v>55</c:v>
                </c:pt>
                <c:pt idx="91">
                  <c:v>30</c:v>
                </c:pt>
                <c:pt idx="92">
                  <c:v>37</c:v>
                </c:pt>
                <c:pt idx="93">
                  <c:v>38</c:v>
                </c:pt>
                <c:pt idx="94">
                  <c:v>33</c:v>
                </c:pt>
                <c:pt idx="95">
                  <c:v>28</c:v>
                </c:pt>
                <c:pt idx="96">
                  <c:v>26</c:v>
                </c:pt>
                <c:pt idx="97">
                  <c:v>54</c:v>
                </c:pt>
                <c:pt idx="98">
                  <c:v>25</c:v>
                </c:pt>
                <c:pt idx="99">
                  <c:v>38</c:v>
                </c:pt>
                <c:pt idx="100">
                  <c:v>31</c:v>
                </c:pt>
                <c:pt idx="101">
                  <c:v>49</c:v>
                </c:pt>
                <c:pt idx="102">
                  <c:v>32</c:v>
                </c:pt>
                <c:pt idx="103">
                  <c:v>60</c:v>
                </c:pt>
                <c:pt idx="104">
                  <c:v>28</c:v>
                </c:pt>
                <c:pt idx="105">
                  <c:v>48</c:v>
                </c:pt>
                <c:pt idx="106">
                  <c:v>53</c:v>
                </c:pt>
                <c:pt idx="107">
                  <c:v>40</c:v>
                </c:pt>
                <c:pt idx="108">
                  <c:v>58</c:v>
                </c:pt>
                <c:pt idx="109">
                  <c:v>44</c:v>
                </c:pt>
                <c:pt idx="110">
                  <c:v>33</c:v>
                </c:pt>
                <c:pt idx="111">
                  <c:v>46</c:v>
                </c:pt>
                <c:pt idx="112">
                  <c:v>35</c:v>
                </c:pt>
                <c:pt idx="113">
                  <c:v>47</c:v>
                </c:pt>
                <c:pt idx="114">
                  <c:v>33</c:v>
                </c:pt>
                <c:pt idx="115">
                  <c:v>43</c:v>
                </c:pt>
                <c:pt idx="116">
                  <c:v>42</c:v>
                </c:pt>
                <c:pt idx="117">
                  <c:v>39</c:v>
                </c:pt>
                <c:pt idx="118">
                  <c:v>31</c:v>
                </c:pt>
                <c:pt idx="119">
                  <c:v>57</c:v>
                </c:pt>
                <c:pt idx="120">
                  <c:v>38</c:v>
                </c:pt>
                <c:pt idx="121">
                  <c:v>35</c:v>
                </c:pt>
                <c:pt idx="122">
                  <c:v>56</c:v>
                </c:pt>
                <c:pt idx="123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29-4860-9393-1904749E2AC9}"/>
            </c:ext>
          </c:extLst>
        </c:ser>
        <c:ser>
          <c:idx val="2"/>
          <c:order val="2"/>
          <c:tx>
            <c:strRef>
              <c:f>Hoja3!$D$1</c:f>
              <c:strCache>
                <c:ptCount val="1"/>
                <c:pt idx="0">
                  <c:v>SATISFACCION CLIENTE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Hoja3!$A$2:$A$125</c:f>
              <c:numCache>
                <c:formatCode>#,##0.0\ _€</c:formatCode>
                <c:ptCount val="124"/>
                <c:pt idx="0">
                  <c:v>20</c:v>
                </c:pt>
                <c:pt idx="1">
                  <c:v>15</c:v>
                </c:pt>
                <c:pt idx="2">
                  <c:v>20</c:v>
                </c:pt>
                <c:pt idx="3">
                  <c:v>20</c:v>
                </c:pt>
                <c:pt idx="4">
                  <c:v>18</c:v>
                </c:pt>
                <c:pt idx="5">
                  <c:v>15</c:v>
                </c:pt>
                <c:pt idx="6">
                  <c:v>15</c:v>
                </c:pt>
                <c:pt idx="7">
                  <c:v>20</c:v>
                </c:pt>
                <c:pt idx="8">
                  <c:v>15</c:v>
                </c:pt>
                <c:pt idx="9">
                  <c:v>15</c:v>
                </c:pt>
                <c:pt idx="10">
                  <c:v>20</c:v>
                </c:pt>
                <c:pt idx="11">
                  <c:v>15</c:v>
                </c:pt>
                <c:pt idx="12">
                  <c:v>15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15</c:v>
                </c:pt>
                <c:pt idx="17">
                  <c:v>18</c:v>
                </c:pt>
                <c:pt idx="18">
                  <c:v>18</c:v>
                </c:pt>
                <c:pt idx="19">
                  <c:v>20</c:v>
                </c:pt>
                <c:pt idx="20">
                  <c:v>20</c:v>
                </c:pt>
                <c:pt idx="21">
                  <c:v>18</c:v>
                </c:pt>
                <c:pt idx="22">
                  <c:v>15</c:v>
                </c:pt>
                <c:pt idx="23">
                  <c:v>18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20</c:v>
                </c:pt>
                <c:pt idx="29">
                  <c:v>15</c:v>
                </c:pt>
                <c:pt idx="30">
                  <c:v>20</c:v>
                </c:pt>
                <c:pt idx="31">
                  <c:v>20</c:v>
                </c:pt>
                <c:pt idx="32">
                  <c:v>15</c:v>
                </c:pt>
                <c:pt idx="33">
                  <c:v>15</c:v>
                </c:pt>
                <c:pt idx="34">
                  <c:v>20</c:v>
                </c:pt>
                <c:pt idx="35">
                  <c:v>15</c:v>
                </c:pt>
                <c:pt idx="36">
                  <c:v>15</c:v>
                </c:pt>
                <c:pt idx="37">
                  <c:v>20</c:v>
                </c:pt>
                <c:pt idx="38">
                  <c:v>20</c:v>
                </c:pt>
                <c:pt idx="39">
                  <c:v>15</c:v>
                </c:pt>
                <c:pt idx="40">
                  <c:v>20</c:v>
                </c:pt>
                <c:pt idx="41">
                  <c:v>15</c:v>
                </c:pt>
                <c:pt idx="42">
                  <c:v>18</c:v>
                </c:pt>
                <c:pt idx="43">
                  <c:v>18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15</c:v>
                </c:pt>
                <c:pt idx="49">
                  <c:v>20</c:v>
                </c:pt>
                <c:pt idx="50">
                  <c:v>18</c:v>
                </c:pt>
                <c:pt idx="51">
                  <c:v>20</c:v>
                </c:pt>
                <c:pt idx="52">
                  <c:v>15</c:v>
                </c:pt>
                <c:pt idx="53">
                  <c:v>18</c:v>
                </c:pt>
                <c:pt idx="54">
                  <c:v>15</c:v>
                </c:pt>
                <c:pt idx="55">
                  <c:v>15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18</c:v>
                </c:pt>
                <c:pt idx="60">
                  <c:v>20</c:v>
                </c:pt>
                <c:pt idx="61">
                  <c:v>15</c:v>
                </c:pt>
                <c:pt idx="62">
                  <c:v>20</c:v>
                </c:pt>
                <c:pt idx="63">
                  <c:v>20</c:v>
                </c:pt>
                <c:pt idx="64">
                  <c:v>15</c:v>
                </c:pt>
                <c:pt idx="65">
                  <c:v>20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18</c:v>
                </c:pt>
                <c:pt idx="71">
                  <c:v>20</c:v>
                </c:pt>
                <c:pt idx="72">
                  <c:v>18</c:v>
                </c:pt>
                <c:pt idx="73">
                  <c:v>18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15</c:v>
                </c:pt>
                <c:pt idx="78">
                  <c:v>15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18</c:v>
                </c:pt>
                <c:pt idx="86">
                  <c:v>20</c:v>
                </c:pt>
                <c:pt idx="87">
                  <c:v>15</c:v>
                </c:pt>
                <c:pt idx="88">
                  <c:v>18</c:v>
                </c:pt>
                <c:pt idx="89">
                  <c:v>20</c:v>
                </c:pt>
                <c:pt idx="90">
                  <c:v>18</c:v>
                </c:pt>
                <c:pt idx="91">
                  <c:v>15</c:v>
                </c:pt>
                <c:pt idx="92">
                  <c:v>15</c:v>
                </c:pt>
                <c:pt idx="93">
                  <c:v>18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15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15</c:v>
                </c:pt>
                <c:pt idx="102">
                  <c:v>18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20</c:v>
                </c:pt>
                <c:pt idx="109">
                  <c:v>15</c:v>
                </c:pt>
                <c:pt idx="110">
                  <c:v>20</c:v>
                </c:pt>
                <c:pt idx="111">
                  <c:v>20</c:v>
                </c:pt>
                <c:pt idx="112">
                  <c:v>18</c:v>
                </c:pt>
                <c:pt idx="113">
                  <c:v>20</c:v>
                </c:pt>
                <c:pt idx="114">
                  <c:v>15</c:v>
                </c:pt>
                <c:pt idx="115">
                  <c:v>20</c:v>
                </c:pt>
                <c:pt idx="116">
                  <c:v>15</c:v>
                </c:pt>
                <c:pt idx="117">
                  <c:v>15</c:v>
                </c:pt>
                <c:pt idx="118">
                  <c:v>18</c:v>
                </c:pt>
                <c:pt idx="119">
                  <c:v>18</c:v>
                </c:pt>
                <c:pt idx="120">
                  <c:v>15</c:v>
                </c:pt>
                <c:pt idx="121">
                  <c:v>15</c:v>
                </c:pt>
                <c:pt idx="122">
                  <c:v>20</c:v>
                </c:pt>
                <c:pt idx="123">
                  <c:v>20</c:v>
                </c:pt>
              </c:numCache>
            </c:numRef>
          </c:xVal>
          <c:yVal>
            <c:numRef>
              <c:f>Hoja3!$D$2:$D$125</c:f>
              <c:numCache>
                <c:formatCode>General</c:formatCode>
                <c:ptCount val="124"/>
                <c:pt idx="0">
                  <c:v>4.2</c:v>
                </c:pt>
                <c:pt idx="1">
                  <c:v>4.8</c:v>
                </c:pt>
                <c:pt idx="2">
                  <c:v>4.5</c:v>
                </c:pt>
                <c:pt idx="3">
                  <c:v>4.9000000000000004</c:v>
                </c:pt>
                <c:pt idx="4">
                  <c:v>3.8</c:v>
                </c:pt>
                <c:pt idx="5">
                  <c:v>4.4000000000000004</c:v>
                </c:pt>
                <c:pt idx="6">
                  <c:v>4.2</c:v>
                </c:pt>
                <c:pt idx="7">
                  <c:v>4.2</c:v>
                </c:pt>
                <c:pt idx="8">
                  <c:v>4.2</c:v>
                </c:pt>
                <c:pt idx="9">
                  <c:v>3.8</c:v>
                </c:pt>
                <c:pt idx="10">
                  <c:v>4.5</c:v>
                </c:pt>
                <c:pt idx="11">
                  <c:v>4.8</c:v>
                </c:pt>
                <c:pt idx="12">
                  <c:v>4.4000000000000004</c:v>
                </c:pt>
                <c:pt idx="13">
                  <c:v>4.8</c:v>
                </c:pt>
                <c:pt idx="14">
                  <c:v>3.6</c:v>
                </c:pt>
                <c:pt idx="15">
                  <c:v>4.5</c:v>
                </c:pt>
                <c:pt idx="16">
                  <c:v>4.9000000000000004</c:v>
                </c:pt>
                <c:pt idx="17">
                  <c:v>4.9000000000000004</c:v>
                </c:pt>
                <c:pt idx="18">
                  <c:v>3.8</c:v>
                </c:pt>
                <c:pt idx="19">
                  <c:v>4.4000000000000004</c:v>
                </c:pt>
                <c:pt idx="20">
                  <c:v>4.2</c:v>
                </c:pt>
                <c:pt idx="21">
                  <c:v>4.5</c:v>
                </c:pt>
                <c:pt idx="22">
                  <c:v>4.8</c:v>
                </c:pt>
                <c:pt idx="23">
                  <c:v>4.4000000000000004</c:v>
                </c:pt>
                <c:pt idx="24">
                  <c:v>4.8</c:v>
                </c:pt>
                <c:pt idx="25">
                  <c:v>3.6</c:v>
                </c:pt>
                <c:pt idx="26">
                  <c:v>4.5</c:v>
                </c:pt>
                <c:pt idx="27">
                  <c:v>4.9000000000000004</c:v>
                </c:pt>
                <c:pt idx="28">
                  <c:v>4.9000000000000004</c:v>
                </c:pt>
                <c:pt idx="29">
                  <c:v>3.8</c:v>
                </c:pt>
                <c:pt idx="30">
                  <c:v>4.4000000000000004</c:v>
                </c:pt>
                <c:pt idx="31">
                  <c:v>4.2</c:v>
                </c:pt>
                <c:pt idx="32">
                  <c:v>4.2</c:v>
                </c:pt>
                <c:pt idx="33">
                  <c:v>4.8</c:v>
                </c:pt>
                <c:pt idx="34">
                  <c:v>4.5</c:v>
                </c:pt>
                <c:pt idx="35">
                  <c:v>4.9000000000000004</c:v>
                </c:pt>
                <c:pt idx="36">
                  <c:v>3.8</c:v>
                </c:pt>
                <c:pt idx="37">
                  <c:v>4.4000000000000004</c:v>
                </c:pt>
                <c:pt idx="38">
                  <c:v>4.2</c:v>
                </c:pt>
                <c:pt idx="39">
                  <c:v>4.2</c:v>
                </c:pt>
                <c:pt idx="40">
                  <c:v>4.2</c:v>
                </c:pt>
                <c:pt idx="41">
                  <c:v>3.8</c:v>
                </c:pt>
                <c:pt idx="42">
                  <c:v>4.5</c:v>
                </c:pt>
                <c:pt idx="43">
                  <c:v>4.8</c:v>
                </c:pt>
                <c:pt idx="44">
                  <c:v>4.4000000000000004</c:v>
                </c:pt>
                <c:pt idx="45">
                  <c:v>4.8</c:v>
                </c:pt>
                <c:pt idx="46">
                  <c:v>3.6</c:v>
                </c:pt>
                <c:pt idx="47">
                  <c:v>4.5</c:v>
                </c:pt>
                <c:pt idx="48">
                  <c:v>4.9000000000000004</c:v>
                </c:pt>
                <c:pt idx="49">
                  <c:v>3.8</c:v>
                </c:pt>
                <c:pt idx="50">
                  <c:v>4.4000000000000004</c:v>
                </c:pt>
                <c:pt idx="51">
                  <c:v>4.2</c:v>
                </c:pt>
                <c:pt idx="52">
                  <c:v>4.2</c:v>
                </c:pt>
                <c:pt idx="53">
                  <c:v>4.2</c:v>
                </c:pt>
                <c:pt idx="54">
                  <c:v>4.8</c:v>
                </c:pt>
                <c:pt idx="55">
                  <c:v>4.4000000000000004</c:v>
                </c:pt>
                <c:pt idx="56">
                  <c:v>4.8</c:v>
                </c:pt>
                <c:pt idx="57">
                  <c:v>3.6</c:v>
                </c:pt>
                <c:pt idx="58">
                  <c:v>4.5</c:v>
                </c:pt>
                <c:pt idx="59">
                  <c:v>4.9000000000000004</c:v>
                </c:pt>
                <c:pt idx="60">
                  <c:v>4.9000000000000004</c:v>
                </c:pt>
                <c:pt idx="61">
                  <c:v>3.8</c:v>
                </c:pt>
                <c:pt idx="62">
                  <c:v>4.4000000000000004</c:v>
                </c:pt>
                <c:pt idx="63">
                  <c:v>4.2</c:v>
                </c:pt>
                <c:pt idx="64">
                  <c:v>4.5</c:v>
                </c:pt>
                <c:pt idx="65">
                  <c:v>4.8</c:v>
                </c:pt>
                <c:pt idx="66">
                  <c:v>4.4000000000000004</c:v>
                </c:pt>
                <c:pt idx="67">
                  <c:v>4.8</c:v>
                </c:pt>
                <c:pt idx="68">
                  <c:v>3.6</c:v>
                </c:pt>
                <c:pt idx="69">
                  <c:v>4.5</c:v>
                </c:pt>
                <c:pt idx="70">
                  <c:v>4.9000000000000004</c:v>
                </c:pt>
                <c:pt idx="71">
                  <c:v>4.9000000000000004</c:v>
                </c:pt>
                <c:pt idx="72">
                  <c:v>3.8</c:v>
                </c:pt>
                <c:pt idx="73">
                  <c:v>3.8</c:v>
                </c:pt>
                <c:pt idx="74">
                  <c:v>4.4000000000000004</c:v>
                </c:pt>
                <c:pt idx="75">
                  <c:v>4.2</c:v>
                </c:pt>
                <c:pt idx="76">
                  <c:v>4.5</c:v>
                </c:pt>
                <c:pt idx="77">
                  <c:v>4.8</c:v>
                </c:pt>
                <c:pt idx="78">
                  <c:v>4.4000000000000004</c:v>
                </c:pt>
                <c:pt idx="79">
                  <c:v>4.8</c:v>
                </c:pt>
                <c:pt idx="80">
                  <c:v>3.6</c:v>
                </c:pt>
                <c:pt idx="81">
                  <c:v>4.5</c:v>
                </c:pt>
                <c:pt idx="82">
                  <c:v>4.9000000000000004</c:v>
                </c:pt>
                <c:pt idx="83">
                  <c:v>3.8</c:v>
                </c:pt>
                <c:pt idx="84">
                  <c:v>4.4000000000000004</c:v>
                </c:pt>
                <c:pt idx="85">
                  <c:v>4.2</c:v>
                </c:pt>
                <c:pt idx="86">
                  <c:v>4.2</c:v>
                </c:pt>
                <c:pt idx="87">
                  <c:v>4.2</c:v>
                </c:pt>
                <c:pt idx="88">
                  <c:v>3.8</c:v>
                </c:pt>
                <c:pt idx="89">
                  <c:v>4.5</c:v>
                </c:pt>
                <c:pt idx="90">
                  <c:v>4.8</c:v>
                </c:pt>
                <c:pt idx="91">
                  <c:v>4.4000000000000004</c:v>
                </c:pt>
                <c:pt idx="92">
                  <c:v>4.8</c:v>
                </c:pt>
                <c:pt idx="93">
                  <c:v>3.6</c:v>
                </c:pt>
                <c:pt idx="94">
                  <c:v>4.5</c:v>
                </c:pt>
                <c:pt idx="95">
                  <c:v>4.9000000000000004</c:v>
                </c:pt>
                <c:pt idx="96">
                  <c:v>4.9000000000000004</c:v>
                </c:pt>
                <c:pt idx="97">
                  <c:v>3.8</c:v>
                </c:pt>
                <c:pt idx="98">
                  <c:v>4.4000000000000004</c:v>
                </c:pt>
                <c:pt idx="99">
                  <c:v>4.2</c:v>
                </c:pt>
                <c:pt idx="100">
                  <c:v>4.5</c:v>
                </c:pt>
                <c:pt idx="101">
                  <c:v>4.8</c:v>
                </c:pt>
                <c:pt idx="102">
                  <c:v>4.4000000000000004</c:v>
                </c:pt>
                <c:pt idx="103">
                  <c:v>4.8</c:v>
                </c:pt>
                <c:pt idx="104">
                  <c:v>3.6</c:v>
                </c:pt>
                <c:pt idx="105">
                  <c:v>4.5</c:v>
                </c:pt>
                <c:pt idx="106">
                  <c:v>4.9000000000000004</c:v>
                </c:pt>
                <c:pt idx="107">
                  <c:v>4.9000000000000004</c:v>
                </c:pt>
                <c:pt idx="108">
                  <c:v>3.8</c:v>
                </c:pt>
                <c:pt idx="109">
                  <c:v>4.4000000000000004</c:v>
                </c:pt>
                <c:pt idx="110">
                  <c:v>4.2</c:v>
                </c:pt>
                <c:pt idx="111">
                  <c:v>4.5</c:v>
                </c:pt>
                <c:pt idx="112">
                  <c:v>4.8</c:v>
                </c:pt>
                <c:pt idx="113">
                  <c:v>4.4000000000000004</c:v>
                </c:pt>
                <c:pt idx="114">
                  <c:v>4.8</c:v>
                </c:pt>
                <c:pt idx="115">
                  <c:v>4.5</c:v>
                </c:pt>
                <c:pt idx="116">
                  <c:v>4.9000000000000004</c:v>
                </c:pt>
                <c:pt idx="117">
                  <c:v>4.9000000000000004</c:v>
                </c:pt>
                <c:pt idx="118">
                  <c:v>4.4000000000000004</c:v>
                </c:pt>
                <c:pt idx="119">
                  <c:v>4.2</c:v>
                </c:pt>
                <c:pt idx="120">
                  <c:v>4.5</c:v>
                </c:pt>
                <c:pt idx="121">
                  <c:v>4.8</c:v>
                </c:pt>
                <c:pt idx="122">
                  <c:v>4.4000000000000004</c:v>
                </c:pt>
                <c:pt idx="123">
                  <c:v>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29-4860-9393-1904749E2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961071"/>
        <c:axId val="237975471"/>
      </c:scatterChart>
      <c:valAx>
        <c:axId val="23796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\ _€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7975471"/>
        <c:crosses val="autoZero"/>
        <c:crossBetween val="midCat"/>
      </c:valAx>
      <c:valAx>
        <c:axId val="23797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7961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71438</xdr:colOff>
      <xdr:row>0</xdr:row>
      <xdr:rowOff>69737</xdr:rowOff>
    </xdr:from>
    <xdr:to>
      <xdr:col>25</xdr:col>
      <xdr:colOff>95250</xdr:colOff>
      <xdr:row>27</xdr:row>
      <xdr:rowOff>107155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F2CC672-8ABA-CE6E-633D-4E320504D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404813</xdr:colOff>
      <xdr:row>28</xdr:row>
      <xdr:rowOff>182165</xdr:rowOff>
    </xdr:from>
    <xdr:to>
      <xdr:col>21</xdr:col>
      <xdr:colOff>71437</xdr:colOff>
      <xdr:row>45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5B7A88-E0E2-9787-0ECF-FD3447301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723900</xdr:colOff>
      <xdr:row>11</xdr:row>
      <xdr:rowOff>33337</xdr:rowOff>
    </xdr:from>
    <xdr:to>
      <xdr:col>11</xdr:col>
      <xdr:colOff>504825</xdr:colOff>
      <xdr:row>25</xdr:row>
      <xdr:rowOff>109537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DA1FE16-582D-0BEB-55D8-3BB7301F5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642936</xdr:colOff>
      <xdr:row>0</xdr:row>
      <xdr:rowOff>261936</xdr:rowOff>
    </xdr:from>
    <xdr:to>
      <xdr:col>11</xdr:col>
      <xdr:colOff>114299</xdr:colOff>
      <xdr:row>15</xdr:row>
      <xdr:rowOff>161924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9E61212-18AD-E991-B995-0AF18FA29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193D-E5E5-49C8-951E-1E48C637A814}">
  <dimension ref="A1:M127"/>
  <sheetViews>
    <sheetView tabSelected="1" topLeftCell="A43" zoomScale="80" zoomScaleNormal="80" workbookViewId="0">
      <selection activeCell="A2" sqref="A2"/>
    </sheetView>
  </sheetViews>
  <sheetFormatPr baseColWidth="10" defaultRowHeight="15" x14ac:dyDescent="0.25"/>
  <cols>
    <col min="1" max="1" width="15.7109375" customWidth="1"/>
    <col min="2" max="2" width="9.5703125" style="4" customWidth="1"/>
    <col min="3" max="3" width="12.42578125" customWidth="1"/>
    <col min="4" max="4" width="31.7109375" customWidth="1"/>
    <col min="5" max="5" width="11" customWidth="1"/>
    <col min="6" max="7" width="16.42578125" customWidth="1"/>
    <col min="8" max="8" width="16.85546875" customWidth="1"/>
    <col min="9" max="9" width="25.85546875" customWidth="1"/>
    <col min="10" max="10" width="20.7109375" customWidth="1"/>
    <col min="11" max="11" width="9.5703125" customWidth="1"/>
    <col min="12" max="12" width="16.85546875" customWidth="1"/>
    <col min="13" max="17" width="11.42578125" customWidth="1"/>
  </cols>
  <sheetData>
    <row r="1" spans="1:13" ht="39" customHeight="1" x14ac:dyDescent="0.25">
      <c r="A1" s="11" t="s">
        <v>44</v>
      </c>
      <c r="B1" s="12" t="s">
        <v>30</v>
      </c>
      <c r="C1" s="11" t="s">
        <v>43</v>
      </c>
      <c r="D1" s="11" t="s">
        <v>42</v>
      </c>
      <c r="E1" s="11" t="s">
        <v>3</v>
      </c>
      <c r="F1" s="11" t="s">
        <v>6</v>
      </c>
      <c r="G1" s="11" t="s">
        <v>41</v>
      </c>
      <c r="H1" s="11" t="s">
        <v>4</v>
      </c>
      <c r="I1" s="11" t="s">
        <v>40</v>
      </c>
      <c r="J1" s="11" t="s">
        <v>38</v>
      </c>
      <c r="K1" s="11" t="s">
        <v>5</v>
      </c>
      <c r="L1" s="11" t="s">
        <v>39</v>
      </c>
      <c r="M1" s="1"/>
    </row>
    <row r="2" spans="1:13" ht="18.75" customHeight="1" x14ac:dyDescent="0.25">
      <c r="A2" s="5">
        <v>45292</v>
      </c>
      <c r="B2" s="6">
        <v>14</v>
      </c>
      <c r="C2" s="7">
        <f>VLOOKUP(B2,'Clasificador de productos'!$A$1:$C$282,3)</f>
        <v>20</v>
      </c>
      <c r="D2" s="8" t="str">
        <f>VLOOKUP(B2,'Clasificador de productos'!$A$1:$C$282,2)</f>
        <v>Pijama “Arcoíris Mágico”</v>
      </c>
      <c r="E2" s="8">
        <v>6</v>
      </c>
      <c r="F2" s="8">
        <v>41</v>
      </c>
      <c r="G2" s="8">
        <v>4.2</v>
      </c>
      <c r="H2" s="9" t="s">
        <v>33</v>
      </c>
      <c r="I2" s="8" t="s">
        <v>12</v>
      </c>
      <c r="J2" s="8" t="s">
        <v>13</v>
      </c>
      <c r="K2" s="8" t="s">
        <v>2</v>
      </c>
      <c r="L2" s="8" t="s">
        <v>32</v>
      </c>
      <c r="M2" s="2"/>
    </row>
    <row r="3" spans="1:13" ht="19.5" customHeight="1" x14ac:dyDescent="0.25">
      <c r="A3" s="5">
        <v>45293</v>
      </c>
      <c r="B3" s="6">
        <v>13</v>
      </c>
      <c r="C3" s="7">
        <f>VLOOKUP(B3,'Clasificador de productos'!$A$1:$C$282,3)</f>
        <v>15</v>
      </c>
      <c r="D3" s="8" t="str">
        <f>VLOOKUP(B3,'Clasificador de productos'!$A$1:$C$282,2)</f>
        <v>Pijama “Ositos Dormilones”</v>
      </c>
      <c r="E3" s="8">
        <v>8</v>
      </c>
      <c r="F3" s="8">
        <v>57</v>
      </c>
      <c r="G3" s="8">
        <v>4.8</v>
      </c>
      <c r="H3" s="9" t="s">
        <v>33</v>
      </c>
      <c r="I3" s="8" t="s">
        <v>14</v>
      </c>
      <c r="J3" s="8" t="s">
        <v>35</v>
      </c>
      <c r="K3" s="8" t="s">
        <v>1</v>
      </c>
      <c r="L3" s="8" t="s">
        <v>15</v>
      </c>
      <c r="M3" s="2"/>
    </row>
    <row r="4" spans="1:13" ht="18" customHeight="1" x14ac:dyDescent="0.25">
      <c r="A4" s="5">
        <v>45294</v>
      </c>
      <c r="B4" s="6">
        <v>11</v>
      </c>
      <c r="C4" s="7">
        <f>VLOOKUP(B4,'Clasificador de productos'!$A$1:$C$282,3)</f>
        <v>20</v>
      </c>
      <c r="D4" s="8" t="str">
        <f>VLOOKUP(B4,'Clasificador de productos'!$A$1:$C$282,2)</f>
        <v>Pijama “Aventura Nocturna”</v>
      </c>
      <c r="E4" s="8">
        <v>10</v>
      </c>
      <c r="F4" s="8">
        <v>53</v>
      </c>
      <c r="G4" s="8">
        <v>4.5</v>
      </c>
      <c r="H4" s="9" t="s">
        <v>33</v>
      </c>
      <c r="I4" s="8" t="s">
        <v>17</v>
      </c>
      <c r="J4" s="8" t="s">
        <v>18</v>
      </c>
      <c r="K4" s="8" t="s">
        <v>2</v>
      </c>
      <c r="L4" s="8" t="s">
        <v>15</v>
      </c>
      <c r="M4" s="2"/>
    </row>
    <row r="5" spans="1:13" ht="18.75" customHeight="1" x14ac:dyDescent="0.25">
      <c r="A5" s="5">
        <v>45295</v>
      </c>
      <c r="B5" s="6">
        <v>11</v>
      </c>
      <c r="C5" s="7">
        <f>VLOOKUP(B5,'Clasificador de productos'!$A$1:$C$282,3)</f>
        <v>20</v>
      </c>
      <c r="D5" s="8" t="str">
        <f>VLOOKUP(B5,'Clasificador de productos'!$A$1:$C$282,2)</f>
        <v>Pijama “Aventura Nocturna”</v>
      </c>
      <c r="E5" s="8">
        <v>4</v>
      </c>
      <c r="F5" s="8">
        <v>40</v>
      </c>
      <c r="G5" s="8">
        <v>4.9000000000000004</v>
      </c>
      <c r="H5" s="9" t="s">
        <v>33</v>
      </c>
      <c r="I5" s="8" t="s">
        <v>20</v>
      </c>
      <c r="J5" s="8" t="s">
        <v>21</v>
      </c>
      <c r="K5" s="8" t="s">
        <v>1</v>
      </c>
      <c r="L5" s="8" t="s">
        <v>32</v>
      </c>
      <c r="M5" s="2"/>
    </row>
    <row r="6" spans="1:13" ht="18" customHeight="1" x14ac:dyDescent="0.25">
      <c r="A6" s="5">
        <v>45296</v>
      </c>
      <c r="B6" s="6">
        <v>12</v>
      </c>
      <c r="C6" s="7">
        <f>VLOOKUP(B6,'Clasificador de productos'!$A$1:$C$282,3)</f>
        <v>18</v>
      </c>
      <c r="D6" s="8" t="str">
        <f>VLOOKUP(B6,'Clasificador de productos'!$A$1:$C$282,2)</f>
        <v>Pijama “Super Espacio”</v>
      </c>
      <c r="E6" s="8">
        <v>12</v>
      </c>
      <c r="F6" s="8">
        <v>29</v>
      </c>
      <c r="G6" s="8">
        <v>3.8</v>
      </c>
      <c r="H6" s="9" t="s">
        <v>33</v>
      </c>
      <c r="I6" s="8" t="s">
        <v>23</v>
      </c>
      <c r="J6" s="8" t="s">
        <v>24</v>
      </c>
      <c r="K6" s="8" t="s">
        <v>1</v>
      </c>
      <c r="L6" s="8" t="s">
        <v>15</v>
      </c>
      <c r="M6" s="2"/>
    </row>
    <row r="7" spans="1:13" ht="18" customHeight="1" x14ac:dyDescent="0.25">
      <c r="A7" s="5">
        <v>45297</v>
      </c>
      <c r="B7" s="6">
        <v>13</v>
      </c>
      <c r="C7" s="7">
        <f>VLOOKUP(B7,'Clasificador de productos'!$A$1:$C$282,3)</f>
        <v>15</v>
      </c>
      <c r="D7" s="8" t="str">
        <f>VLOOKUP(B7,'Clasificador de productos'!$A$1:$C$282,2)</f>
        <v>Pijama “Ositos Dormilones”</v>
      </c>
      <c r="E7" s="8">
        <v>14</v>
      </c>
      <c r="F7" s="8">
        <v>32</v>
      </c>
      <c r="G7" s="8">
        <v>4.4000000000000004</v>
      </c>
      <c r="H7" s="9" t="s">
        <v>33</v>
      </c>
      <c r="I7" s="8" t="s">
        <v>26</v>
      </c>
      <c r="J7" s="8" t="s">
        <v>27</v>
      </c>
      <c r="K7" s="8" t="s">
        <v>2</v>
      </c>
      <c r="L7" s="8" t="s">
        <v>32</v>
      </c>
      <c r="M7" s="2"/>
    </row>
    <row r="8" spans="1:13" x14ac:dyDescent="0.25">
      <c r="A8" s="5">
        <v>45298</v>
      </c>
      <c r="B8" s="6">
        <v>13</v>
      </c>
      <c r="C8" s="7">
        <f>VLOOKUP(B8,'Clasificador de productos'!$A$1:$C$282,3)</f>
        <v>15</v>
      </c>
      <c r="D8" s="8" t="str">
        <f>VLOOKUP(B8,'Clasificador de productos'!$A$1:$C$282,2)</f>
        <v>Pijama “Ositos Dormilones”</v>
      </c>
      <c r="E8" s="8">
        <v>4</v>
      </c>
      <c r="F8" s="8">
        <v>27</v>
      </c>
      <c r="G8" s="8">
        <v>4.2</v>
      </c>
      <c r="H8" s="9" t="s">
        <v>33</v>
      </c>
      <c r="I8" s="8" t="s">
        <v>12</v>
      </c>
      <c r="J8" s="8" t="s">
        <v>18</v>
      </c>
      <c r="K8" s="8" t="s">
        <v>1</v>
      </c>
      <c r="L8" s="8" t="s">
        <v>15</v>
      </c>
    </row>
    <row r="9" spans="1:13" x14ac:dyDescent="0.25">
      <c r="A9" s="5">
        <v>45299</v>
      </c>
      <c r="B9" s="6">
        <v>11</v>
      </c>
      <c r="C9" s="7">
        <f>VLOOKUP(B9,'Clasificador de productos'!$A$1:$C$282,3)</f>
        <v>20</v>
      </c>
      <c r="D9" s="8" t="str">
        <f>VLOOKUP(B9,'Clasificador de productos'!$A$1:$C$282,2)</f>
        <v>Pijama “Aventura Nocturna”</v>
      </c>
      <c r="E9" s="8">
        <v>6</v>
      </c>
      <c r="F9" s="8">
        <v>46</v>
      </c>
      <c r="G9" s="8">
        <v>4.2</v>
      </c>
      <c r="H9" s="9" t="s">
        <v>33</v>
      </c>
      <c r="I9" s="8" t="s">
        <v>14</v>
      </c>
      <c r="J9" s="8" t="s">
        <v>21</v>
      </c>
      <c r="K9" s="8" t="s">
        <v>2</v>
      </c>
      <c r="L9" s="8" t="s">
        <v>32</v>
      </c>
    </row>
    <row r="10" spans="1:13" x14ac:dyDescent="0.25">
      <c r="A10" s="5">
        <v>45300</v>
      </c>
      <c r="B10" s="6">
        <v>10</v>
      </c>
      <c r="C10" s="7">
        <f>VLOOKUP(B10,'Clasificador de productos'!$A$1:$C$282,3)</f>
        <v>15</v>
      </c>
      <c r="D10" s="8" t="str">
        <f>VLOOKUP(B10,'Clasificador de productos'!$A$1:$C$282,2)</f>
        <v>Pijama “Dinosaurio Feliz”</v>
      </c>
      <c r="E10" s="8">
        <v>12</v>
      </c>
      <c r="F10" s="8">
        <v>60</v>
      </c>
      <c r="G10" s="8">
        <v>4.2</v>
      </c>
      <c r="H10" s="9" t="s">
        <v>33</v>
      </c>
      <c r="I10" s="8" t="s">
        <v>17</v>
      </c>
      <c r="J10" s="8" t="s">
        <v>24</v>
      </c>
      <c r="K10" s="8" t="s">
        <v>1</v>
      </c>
      <c r="L10" s="8" t="s">
        <v>15</v>
      </c>
    </row>
    <row r="11" spans="1:13" x14ac:dyDescent="0.25">
      <c r="A11" s="5">
        <v>45301</v>
      </c>
      <c r="B11" s="6">
        <v>13</v>
      </c>
      <c r="C11" s="7">
        <f>VLOOKUP(B11,'Clasificador de productos'!$A$1:$C$282,3)</f>
        <v>15</v>
      </c>
      <c r="D11" s="8" t="str">
        <f>VLOOKUP(B11,'Clasificador de productos'!$A$1:$C$282,2)</f>
        <v>Pijama “Ositos Dormilones”</v>
      </c>
      <c r="E11" s="8">
        <v>4</v>
      </c>
      <c r="F11" s="8">
        <v>25</v>
      </c>
      <c r="G11" s="8">
        <v>3.8</v>
      </c>
      <c r="H11" s="9" t="s">
        <v>33</v>
      </c>
      <c r="I11" s="8" t="s">
        <v>20</v>
      </c>
      <c r="J11" s="8" t="s">
        <v>13</v>
      </c>
      <c r="K11" s="8" t="s">
        <v>2</v>
      </c>
      <c r="L11" s="8" t="s">
        <v>32</v>
      </c>
    </row>
    <row r="12" spans="1:13" x14ac:dyDescent="0.25">
      <c r="A12" s="5">
        <v>45302</v>
      </c>
      <c r="B12" s="6">
        <v>11</v>
      </c>
      <c r="C12" s="7">
        <f>VLOOKUP(B12,'Clasificador de productos'!$A$1:$C$282,3)</f>
        <v>20</v>
      </c>
      <c r="D12" s="8" t="str">
        <f>VLOOKUP(B12,'Clasificador de productos'!$A$1:$C$282,2)</f>
        <v>Pijama “Aventura Nocturna”</v>
      </c>
      <c r="E12" s="8">
        <v>8</v>
      </c>
      <c r="F12" s="8">
        <v>43</v>
      </c>
      <c r="G12" s="8">
        <v>4.5</v>
      </c>
      <c r="H12" s="9" t="s">
        <v>33</v>
      </c>
      <c r="I12" s="8" t="s">
        <v>17</v>
      </c>
      <c r="J12" s="8" t="s">
        <v>27</v>
      </c>
      <c r="K12" s="8" t="s">
        <v>1</v>
      </c>
      <c r="L12" s="8" t="s">
        <v>15</v>
      </c>
    </row>
    <row r="13" spans="1:13" x14ac:dyDescent="0.25">
      <c r="A13" s="5">
        <v>45303</v>
      </c>
      <c r="B13" s="6">
        <v>13</v>
      </c>
      <c r="C13" s="7">
        <f>VLOOKUP(B13,'Clasificador de productos'!$A$1:$C$282,3)</f>
        <v>15</v>
      </c>
      <c r="D13" s="8" t="str">
        <f>VLOOKUP(B13,'Clasificador de productos'!$A$1:$C$282,2)</f>
        <v>Pijama “Ositos Dormilones”</v>
      </c>
      <c r="E13" s="8">
        <v>14</v>
      </c>
      <c r="F13" s="8">
        <v>40</v>
      </c>
      <c r="G13" s="8">
        <v>4.8</v>
      </c>
      <c r="H13" s="9" t="s">
        <v>33</v>
      </c>
      <c r="I13" s="8" t="s">
        <v>20</v>
      </c>
      <c r="J13" s="8" t="s">
        <v>21</v>
      </c>
      <c r="K13" s="8" t="s">
        <v>2</v>
      </c>
      <c r="L13" s="8" t="s">
        <v>32</v>
      </c>
    </row>
    <row r="14" spans="1:13" x14ac:dyDescent="0.25">
      <c r="A14" s="5">
        <v>45304</v>
      </c>
      <c r="B14" s="6">
        <v>10</v>
      </c>
      <c r="C14" s="7">
        <f>VLOOKUP(B14,'Clasificador de productos'!$A$1:$C$282,3)</f>
        <v>15</v>
      </c>
      <c r="D14" s="8" t="str">
        <f>VLOOKUP(B14,'Clasificador de productos'!$A$1:$C$282,2)</f>
        <v>Pijama “Dinosaurio Feliz”</v>
      </c>
      <c r="E14" s="8">
        <v>6</v>
      </c>
      <c r="F14" s="8">
        <v>26</v>
      </c>
      <c r="G14" s="8">
        <v>4.4000000000000004</v>
      </c>
      <c r="H14" s="9" t="s">
        <v>33</v>
      </c>
      <c r="I14" s="8" t="s">
        <v>23</v>
      </c>
      <c r="J14" s="8" t="s">
        <v>27</v>
      </c>
      <c r="K14" s="8" t="s">
        <v>1</v>
      </c>
      <c r="L14" s="8" t="s">
        <v>15</v>
      </c>
    </row>
    <row r="15" spans="1:13" x14ac:dyDescent="0.25">
      <c r="A15" s="5">
        <v>45305</v>
      </c>
      <c r="B15" s="6">
        <v>11</v>
      </c>
      <c r="C15" s="7">
        <f>VLOOKUP(B15,'Clasificador de productos'!$A$1:$C$282,3)</f>
        <v>20</v>
      </c>
      <c r="D15" s="8" t="str">
        <f>VLOOKUP(B15,'Clasificador de productos'!$A$1:$C$282,2)</f>
        <v>Pijama “Aventura Nocturna”</v>
      </c>
      <c r="E15" s="8">
        <v>14</v>
      </c>
      <c r="F15" s="8">
        <v>47</v>
      </c>
      <c r="G15" s="8">
        <v>4.8</v>
      </c>
      <c r="H15" s="9" t="s">
        <v>33</v>
      </c>
      <c r="I15" s="8" t="s">
        <v>26</v>
      </c>
      <c r="J15" s="8" t="s">
        <v>13</v>
      </c>
      <c r="K15" s="8" t="s">
        <v>2</v>
      </c>
      <c r="L15" s="8" t="s">
        <v>32</v>
      </c>
    </row>
    <row r="16" spans="1:13" x14ac:dyDescent="0.25">
      <c r="A16" s="5">
        <v>45306</v>
      </c>
      <c r="B16" s="6">
        <v>11</v>
      </c>
      <c r="C16" s="7">
        <f>VLOOKUP(B16,'Clasificador de productos'!$A$1:$C$282,3)</f>
        <v>20</v>
      </c>
      <c r="D16" s="8" t="str">
        <f>VLOOKUP(B16,'Clasificador de productos'!$A$1:$C$282,2)</f>
        <v>Pijama “Aventura Nocturna”</v>
      </c>
      <c r="E16" s="8">
        <v>6</v>
      </c>
      <c r="F16" s="8">
        <v>46</v>
      </c>
      <c r="G16" s="8">
        <v>3.6</v>
      </c>
      <c r="H16" s="9" t="s">
        <v>33</v>
      </c>
      <c r="I16" s="8" t="s">
        <v>20</v>
      </c>
      <c r="J16" s="8" t="s">
        <v>24</v>
      </c>
      <c r="K16" s="8" t="s">
        <v>1</v>
      </c>
      <c r="L16" s="8" t="s">
        <v>15</v>
      </c>
    </row>
    <row r="17" spans="1:12" x14ac:dyDescent="0.25">
      <c r="A17" s="5">
        <v>45307</v>
      </c>
      <c r="B17" s="6">
        <v>14</v>
      </c>
      <c r="C17" s="7">
        <f>VLOOKUP(B17,'Clasificador de productos'!$A$1:$C$282,3)</f>
        <v>20</v>
      </c>
      <c r="D17" s="8" t="str">
        <f>VLOOKUP(B17,'Clasificador de productos'!$A$1:$C$282,2)</f>
        <v>Pijama “Arcoíris Mágico”</v>
      </c>
      <c r="E17" s="8">
        <v>8</v>
      </c>
      <c r="F17" s="8">
        <v>31</v>
      </c>
      <c r="G17" s="8">
        <v>4.5</v>
      </c>
      <c r="H17" s="9" t="s">
        <v>33</v>
      </c>
      <c r="I17" s="8" t="s">
        <v>23</v>
      </c>
      <c r="J17" s="8" t="s">
        <v>21</v>
      </c>
      <c r="K17" s="8" t="s">
        <v>2</v>
      </c>
      <c r="L17" s="8" t="s">
        <v>32</v>
      </c>
    </row>
    <row r="18" spans="1:12" x14ac:dyDescent="0.25">
      <c r="A18" s="5">
        <v>45308</v>
      </c>
      <c r="B18" s="6">
        <v>10</v>
      </c>
      <c r="C18" s="7">
        <f>VLOOKUP(B18,'Clasificador de productos'!$A$1:$C$282,3)</f>
        <v>15</v>
      </c>
      <c r="D18" s="8" t="str">
        <f>VLOOKUP(B18,'Clasificador de productos'!$A$1:$C$282,2)</f>
        <v>Pijama “Dinosaurio Feliz”</v>
      </c>
      <c r="E18" s="8">
        <v>12</v>
      </c>
      <c r="F18" s="8">
        <v>33</v>
      </c>
      <c r="G18" s="8">
        <v>4.9000000000000004</v>
      </c>
      <c r="H18" s="9" t="s">
        <v>33</v>
      </c>
      <c r="I18" s="8" t="s">
        <v>26</v>
      </c>
      <c r="J18" s="8" t="s">
        <v>24</v>
      </c>
      <c r="K18" s="8" t="s">
        <v>1</v>
      </c>
      <c r="L18" s="8" t="s">
        <v>15</v>
      </c>
    </row>
    <row r="19" spans="1:12" x14ac:dyDescent="0.25">
      <c r="A19" s="5">
        <v>45309</v>
      </c>
      <c r="B19" s="6">
        <v>12</v>
      </c>
      <c r="C19" s="7">
        <f>VLOOKUP(B19,'Clasificador de productos'!$A$1:$C$282,3)</f>
        <v>18</v>
      </c>
      <c r="D19" s="8" t="str">
        <f>VLOOKUP(B19,'Clasificador de productos'!$A$1:$C$282,2)</f>
        <v>Pijama “Super Espacio”</v>
      </c>
      <c r="E19" s="8">
        <v>4</v>
      </c>
      <c r="F19" s="8">
        <v>53</v>
      </c>
      <c r="G19" s="8">
        <v>4.9000000000000004</v>
      </c>
      <c r="H19" s="9" t="s">
        <v>33</v>
      </c>
      <c r="I19" s="8" t="s">
        <v>12</v>
      </c>
      <c r="J19" s="8" t="s">
        <v>35</v>
      </c>
      <c r="K19" s="8" t="s">
        <v>1</v>
      </c>
      <c r="L19" s="8" t="s">
        <v>32</v>
      </c>
    </row>
    <row r="20" spans="1:12" x14ac:dyDescent="0.25">
      <c r="A20" s="5">
        <v>45310</v>
      </c>
      <c r="B20" s="6">
        <v>12</v>
      </c>
      <c r="C20" s="7">
        <f>VLOOKUP(B20,'Clasificador de productos'!$A$1:$C$282,3)</f>
        <v>18</v>
      </c>
      <c r="D20" s="8" t="str">
        <f>VLOOKUP(B20,'Clasificador de productos'!$A$1:$C$282,2)</f>
        <v>Pijama “Super Espacio”</v>
      </c>
      <c r="E20" s="8">
        <v>6</v>
      </c>
      <c r="F20" s="8">
        <v>35</v>
      </c>
      <c r="G20" s="8">
        <v>3.8</v>
      </c>
      <c r="H20" s="9" t="s">
        <v>33</v>
      </c>
      <c r="I20" s="8" t="s">
        <v>14</v>
      </c>
      <c r="J20" s="8" t="s">
        <v>13</v>
      </c>
      <c r="K20" s="8" t="s">
        <v>1</v>
      </c>
      <c r="L20" s="8" t="s">
        <v>15</v>
      </c>
    </row>
    <row r="21" spans="1:12" x14ac:dyDescent="0.25">
      <c r="A21" s="5">
        <v>45311</v>
      </c>
      <c r="B21" s="6">
        <v>14</v>
      </c>
      <c r="C21" s="7">
        <f>VLOOKUP(B21,'Clasificador de productos'!$A$1:$C$282,3)</f>
        <v>20</v>
      </c>
      <c r="D21" s="8" t="str">
        <f>VLOOKUP(B21,'Clasificador de productos'!$A$1:$C$282,2)</f>
        <v>Pijama “Arcoíris Mágico”</v>
      </c>
      <c r="E21" s="8">
        <v>12</v>
      </c>
      <c r="F21" s="8">
        <v>29</v>
      </c>
      <c r="G21" s="8">
        <v>4.4000000000000004</v>
      </c>
      <c r="H21" s="9" t="s">
        <v>33</v>
      </c>
      <c r="I21" s="8" t="s">
        <v>17</v>
      </c>
      <c r="J21" s="8" t="s">
        <v>21</v>
      </c>
      <c r="K21" s="8" t="s">
        <v>1</v>
      </c>
      <c r="L21" s="8" t="s">
        <v>32</v>
      </c>
    </row>
    <row r="22" spans="1:12" x14ac:dyDescent="0.25">
      <c r="A22" s="5">
        <v>45312</v>
      </c>
      <c r="B22" s="6">
        <v>11</v>
      </c>
      <c r="C22" s="7">
        <f>VLOOKUP(B22,'Clasificador de productos'!$A$1:$C$282,3)</f>
        <v>20</v>
      </c>
      <c r="D22" s="8" t="str">
        <f>VLOOKUP(B22,'Clasificador de productos'!$A$1:$C$282,2)</f>
        <v>Pijama “Aventura Nocturna”</v>
      </c>
      <c r="E22" s="8">
        <v>4</v>
      </c>
      <c r="F22" s="8">
        <v>29</v>
      </c>
      <c r="G22" s="8">
        <v>4.2</v>
      </c>
      <c r="H22" s="9" t="s">
        <v>33</v>
      </c>
      <c r="I22" s="8" t="s">
        <v>20</v>
      </c>
      <c r="J22" s="8" t="s">
        <v>18</v>
      </c>
      <c r="K22" s="8" t="s">
        <v>1</v>
      </c>
      <c r="L22" s="8" t="s">
        <v>15</v>
      </c>
    </row>
    <row r="23" spans="1:12" x14ac:dyDescent="0.25">
      <c r="A23" s="5">
        <v>45313</v>
      </c>
      <c r="B23" s="6">
        <v>12</v>
      </c>
      <c r="C23" s="7">
        <f>VLOOKUP(B23,'Clasificador de productos'!$A$1:$C$282,3)</f>
        <v>18</v>
      </c>
      <c r="D23" s="8" t="str">
        <f>VLOOKUP(B23,'Clasificador de productos'!$A$1:$C$282,2)</f>
        <v>Pijama “Super Espacio”</v>
      </c>
      <c r="E23" s="8">
        <v>8</v>
      </c>
      <c r="F23" s="8">
        <v>39</v>
      </c>
      <c r="G23" s="8">
        <v>4.5</v>
      </c>
      <c r="H23" s="9" t="s">
        <v>33</v>
      </c>
      <c r="I23" s="8" t="s">
        <v>17</v>
      </c>
      <c r="J23" s="8" t="s">
        <v>35</v>
      </c>
      <c r="K23" s="8" t="s">
        <v>1</v>
      </c>
      <c r="L23" s="8" t="s">
        <v>32</v>
      </c>
    </row>
    <row r="24" spans="1:12" x14ac:dyDescent="0.25">
      <c r="A24" s="5">
        <v>45314</v>
      </c>
      <c r="B24" s="6">
        <v>13</v>
      </c>
      <c r="C24" s="7">
        <f>VLOOKUP(B24,'Clasificador de productos'!$A$1:$C$282,3)</f>
        <v>15</v>
      </c>
      <c r="D24" s="8" t="str">
        <f>VLOOKUP(B24,'Clasificador de productos'!$A$1:$C$282,2)</f>
        <v>Pijama “Ositos Dormilones”</v>
      </c>
      <c r="E24" s="8">
        <v>10</v>
      </c>
      <c r="F24" s="8">
        <v>31</v>
      </c>
      <c r="G24" s="8">
        <v>4.8</v>
      </c>
      <c r="H24" s="9" t="s">
        <v>33</v>
      </c>
      <c r="I24" s="8" t="s">
        <v>12</v>
      </c>
      <c r="J24" s="8" t="s">
        <v>24</v>
      </c>
      <c r="K24" s="8" t="s">
        <v>1</v>
      </c>
      <c r="L24" s="8" t="s">
        <v>15</v>
      </c>
    </row>
    <row r="25" spans="1:12" x14ac:dyDescent="0.25">
      <c r="A25" s="5">
        <v>45315</v>
      </c>
      <c r="B25" s="6">
        <v>12</v>
      </c>
      <c r="C25" s="7">
        <f>VLOOKUP(B25,'Clasificador de productos'!$A$1:$C$282,3)</f>
        <v>18</v>
      </c>
      <c r="D25" s="8" t="str">
        <f>VLOOKUP(B25,'Clasificador de productos'!$A$1:$C$282,2)</f>
        <v>Pijama “Super Espacio”</v>
      </c>
      <c r="E25" s="8">
        <v>6</v>
      </c>
      <c r="F25" s="8">
        <v>57</v>
      </c>
      <c r="G25" s="8">
        <v>4.4000000000000004</v>
      </c>
      <c r="H25" s="9" t="s">
        <v>33</v>
      </c>
      <c r="I25" s="8" t="s">
        <v>14</v>
      </c>
      <c r="J25" s="8" t="s">
        <v>13</v>
      </c>
      <c r="K25" s="8" t="s">
        <v>1</v>
      </c>
      <c r="L25" s="8" t="s">
        <v>32</v>
      </c>
    </row>
    <row r="26" spans="1:12" x14ac:dyDescent="0.25">
      <c r="A26" s="5">
        <v>45316</v>
      </c>
      <c r="B26" s="6">
        <v>10</v>
      </c>
      <c r="C26" s="7">
        <f>VLOOKUP(B26,'Clasificador de productos'!$A$1:$C$282,3)</f>
        <v>15</v>
      </c>
      <c r="D26" s="8" t="str">
        <f>VLOOKUP(B26,'Clasificador de productos'!$A$1:$C$282,2)</f>
        <v>Pijama “Dinosaurio Feliz”</v>
      </c>
      <c r="E26" s="8">
        <v>12</v>
      </c>
      <c r="F26" s="8">
        <v>44</v>
      </c>
      <c r="G26" s="8">
        <v>4.8</v>
      </c>
      <c r="H26" s="9" t="s">
        <v>33</v>
      </c>
      <c r="I26" s="8" t="s">
        <v>17</v>
      </c>
      <c r="J26" s="8" t="s">
        <v>18</v>
      </c>
      <c r="K26" s="8" t="s">
        <v>1</v>
      </c>
      <c r="L26" s="8" t="s">
        <v>15</v>
      </c>
    </row>
    <row r="27" spans="1:12" x14ac:dyDescent="0.25">
      <c r="A27" s="5">
        <v>45317</v>
      </c>
      <c r="B27" s="6">
        <v>13</v>
      </c>
      <c r="C27" s="7">
        <f>VLOOKUP(B27,'Clasificador de productos'!$A$1:$C$282,3)</f>
        <v>15</v>
      </c>
      <c r="D27" s="8" t="str">
        <f>VLOOKUP(B27,'Clasificador de productos'!$A$1:$C$282,2)</f>
        <v>Pijama “Ositos Dormilones”</v>
      </c>
      <c r="E27" s="8">
        <v>14</v>
      </c>
      <c r="F27" s="8">
        <v>55</v>
      </c>
      <c r="G27" s="8">
        <v>3.6</v>
      </c>
      <c r="H27" s="9" t="s">
        <v>33</v>
      </c>
      <c r="I27" s="8" t="s">
        <v>20</v>
      </c>
      <c r="J27" s="8" t="s">
        <v>21</v>
      </c>
      <c r="K27" s="8" t="s">
        <v>2</v>
      </c>
      <c r="L27" s="8" t="s">
        <v>32</v>
      </c>
    </row>
    <row r="28" spans="1:12" x14ac:dyDescent="0.25">
      <c r="A28" s="5">
        <v>45318</v>
      </c>
      <c r="B28" s="6">
        <v>13</v>
      </c>
      <c r="C28" s="7">
        <f>VLOOKUP(B28,'Clasificador de productos'!$A$1:$C$282,3)</f>
        <v>15</v>
      </c>
      <c r="D28" s="8" t="str">
        <f>VLOOKUP(B28,'Clasificador de productos'!$A$1:$C$282,2)</f>
        <v>Pijama “Ositos Dormilones”</v>
      </c>
      <c r="E28" s="8">
        <v>6</v>
      </c>
      <c r="F28" s="8">
        <v>48</v>
      </c>
      <c r="G28" s="8">
        <v>4.5</v>
      </c>
      <c r="H28" s="9" t="s">
        <v>33</v>
      </c>
      <c r="I28" s="8" t="s">
        <v>23</v>
      </c>
      <c r="J28" s="8" t="s">
        <v>35</v>
      </c>
      <c r="K28" s="8" t="s">
        <v>1</v>
      </c>
      <c r="L28" s="8" t="s">
        <v>15</v>
      </c>
    </row>
    <row r="29" spans="1:12" x14ac:dyDescent="0.25">
      <c r="A29" s="5">
        <v>45319</v>
      </c>
      <c r="B29" s="6">
        <v>13</v>
      </c>
      <c r="C29" s="7">
        <f>VLOOKUP(B29,'Clasificador de productos'!$A$1:$C$282,3)</f>
        <v>15</v>
      </c>
      <c r="D29" s="8" t="str">
        <f>VLOOKUP(B29,'Clasificador de productos'!$A$1:$C$282,2)</f>
        <v>Pijama “Ositos Dormilones”</v>
      </c>
      <c r="E29" s="8">
        <v>4</v>
      </c>
      <c r="F29" s="8">
        <v>37</v>
      </c>
      <c r="G29" s="8">
        <v>4.9000000000000004</v>
      </c>
      <c r="H29" s="9" t="s">
        <v>33</v>
      </c>
      <c r="I29" s="8" t="s">
        <v>26</v>
      </c>
      <c r="J29" s="8" t="s">
        <v>18</v>
      </c>
      <c r="K29" s="8" t="s">
        <v>2</v>
      </c>
      <c r="L29" s="8" t="s">
        <v>15</v>
      </c>
    </row>
    <row r="30" spans="1:12" x14ac:dyDescent="0.25">
      <c r="A30" s="5">
        <v>45320</v>
      </c>
      <c r="B30" s="6">
        <v>11</v>
      </c>
      <c r="C30" s="7">
        <f>VLOOKUP(B30,'Clasificador de productos'!$A$1:$C$282,3)</f>
        <v>20</v>
      </c>
      <c r="D30" s="8" t="str">
        <f>VLOOKUP(B30,'Clasificador de productos'!$A$1:$C$282,2)</f>
        <v>Pijama “Aventura Nocturna”</v>
      </c>
      <c r="E30" s="8">
        <v>10</v>
      </c>
      <c r="F30" s="8">
        <v>50</v>
      </c>
      <c r="G30" s="8">
        <v>4.9000000000000004</v>
      </c>
      <c r="H30" s="9" t="s">
        <v>33</v>
      </c>
      <c r="I30" s="8" t="s">
        <v>12</v>
      </c>
      <c r="J30" s="8" t="s">
        <v>13</v>
      </c>
      <c r="K30" s="8" t="s">
        <v>1</v>
      </c>
      <c r="L30" s="8" t="s">
        <v>15</v>
      </c>
    </row>
    <row r="31" spans="1:12" x14ac:dyDescent="0.25">
      <c r="A31" s="5">
        <v>45321</v>
      </c>
      <c r="B31" s="6">
        <v>10</v>
      </c>
      <c r="C31" s="7">
        <f>VLOOKUP(B31,'Clasificador de productos'!$A$1:$C$282,3)</f>
        <v>15</v>
      </c>
      <c r="D31" s="8" t="str">
        <f>VLOOKUP(B31,'Clasificador de productos'!$A$1:$C$282,2)</f>
        <v>Pijama “Dinosaurio Feliz”</v>
      </c>
      <c r="E31" s="8">
        <v>8</v>
      </c>
      <c r="F31" s="8">
        <v>56</v>
      </c>
      <c r="G31" s="8">
        <v>3.8</v>
      </c>
      <c r="H31" s="9" t="s">
        <v>33</v>
      </c>
      <c r="I31" s="8" t="s">
        <v>14</v>
      </c>
      <c r="J31" s="8" t="s">
        <v>27</v>
      </c>
      <c r="K31" s="8" t="s">
        <v>2</v>
      </c>
      <c r="L31" s="8" t="s">
        <v>15</v>
      </c>
    </row>
    <row r="32" spans="1:12" x14ac:dyDescent="0.25">
      <c r="A32" s="5">
        <v>45322</v>
      </c>
      <c r="B32" s="6">
        <v>14</v>
      </c>
      <c r="C32" s="7">
        <f>VLOOKUP(B32,'Clasificador de productos'!$A$1:$C$282,3)</f>
        <v>20</v>
      </c>
      <c r="D32" s="8" t="str">
        <f>VLOOKUP(B32,'Clasificador de productos'!$A$1:$C$282,2)</f>
        <v>Pijama “Arcoíris Mágico”</v>
      </c>
      <c r="E32" s="8">
        <v>14</v>
      </c>
      <c r="F32" s="8">
        <v>33</v>
      </c>
      <c r="G32" s="8">
        <v>4.4000000000000004</v>
      </c>
      <c r="H32" s="9" t="s">
        <v>33</v>
      </c>
      <c r="I32" s="8" t="s">
        <v>17</v>
      </c>
      <c r="J32" s="8" t="s">
        <v>21</v>
      </c>
      <c r="K32" s="8" t="s">
        <v>1</v>
      </c>
      <c r="L32" s="8" t="s">
        <v>15</v>
      </c>
    </row>
    <row r="33" spans="1:12" x14ac:dyDescent="0.25">
      <c r="A33" s="5">
        <v>45323</v>
      </c>
      <c r="B33" s="6">
        <v>11</v>
      </c>
      <c r="C33" s="7">
        <f>VLOOKUP(B33,'Clasificador de productos'!$A$1:$C$282,3)</f>
        <v>20</v>
      </c>
      <c r="D33" s="8" t="str">
        <f>VLOOKUP(B33,'Clasificador de productos'!$A$1:$C$282,2)</f>
        <v>Pijama “Aventura Nocturna”</v>
      </c>
      <c r="E33" s="8">
        <v>6</v>
      </c>
      <c r="F33" s="8">
        <v>39</v>
      </c>
      <c r="G33" s="8">
        <v>4.2</v>
      </c>
      <c r="H33" s="9" t="s">
        <v>33</v>
      </c>
      <c r="I33" s="8" t="s">
        <v>20</v>
      </c>
      <c r="J33" s="8" t="s">
        <v>35</v>
      </c>
      <c r="K33" s="8" t="s">
        <v>2</v>
      </c>
      <c r="L33" s="8" t="s">
        <v>32</v>
      </c>
    </row>
    <row r="34" spans="1:12" x14ac:dyDescent="0.25">
      <c r="A34" s="5">
        <v>45324</v>
      </c>
      <c r="B34" s="6">
        <v>10</v>
      </c>
      <c r="C34" s="7">
        <f>VLOOKUP(B34,'Clasificador de productos'!$A$1:$C$282,3)</f>
        <v>15</v>
      </c>
      <c r="D34" s="8" t="str">
        <f>VLOOKUP(B34,'Clasificador de productos'!$A$1:$C$282,2)</f>
        <v>Pijama “Dinosaurio Feliz”</v>
      </c>
      <c r="E34" s="8">
        <v>4</v>
      </c>
      <c r="F34" s="8">
        <v>33</v>
      </c>
      <c r="G34" s="8">
        <v>4.2</v>
      </c>
      <c r="H34" s="9" t="s">
        <v>33</v>
      </c>
      <c r="I34" s="8" t="s">
        <v>17</v>
      </c>
      <c r="J34" s="8" t="s">
        <v>21</v>
      </c>
      <c r="K34" s="8" t="s">
        <v>1</v>
      </c>
      <c r="L34" s="8" t="s">
        <v>15</v>
      </c>
    </row>
    <row r="35" spans="1:12" x14ac:dyDescent="0.25">
      <c r="A35" s="5">
        <v>45325</v>
      </c>
      <c r="B35" s="6">
        <v>13</v>
      </c>
      <c r="C35" s="7">
        <f>VLOOKUP(B35,'Clasificador de productos'!$A$1:$C$282,3)</f>
        <v>15</v>
      </c>
      <c r="D35" s="8" t="str">
        <f>VLOOKUP(B35,'Clasificador de productos'!$A$1:$C$282,2)</f>
        <v>Pijama “Ositos Dormilones”</v>
      </c>
      <c r="E35" s="8">
        <v>6</v>
      </c>
      <c r="F35" s="8">
        <v>26</v>
      </c>
      <c r="G35" s="8">
        <v>4.8</v>
      </c>
      <c r="H35" s="9" t="s">
        <v>33</v>
      </c>
      <c r="I35" s="8" t="s">
        <v>20</v>
      </c>
      <c r="J35" s="8" t="s">
        <v>18</v>
      </c>
      <c r="K35" s="8" t="s">
        <v>2</v>
      </c>
      <c r="L35" s="8" t="s">
        <v>32</v>
      </c>
    </row>
    <row r="36" spans="1:12" x14ac:dyDescent="0.25">
      <c r="A36" s="5">
        <v>45326</v>
      </c>
      <c r="B36" s="6">
        <v>14</v>
      </c>
      <c r="C36" s="7">
        <f>VLOOKUP(B36,'Clasificador de productos'!$A$1:$C$282,3)</f>
        <v>20</v>
      </c>
      <c r="D36" s="8" t="str">
        <f>VLOOKUP(B36,'Clasificador de productos'!$A$1:$C$282,2)</f>
        <v>Pijama “Arcoíris Mágico”</v>
      </c>
      <c r="E36" s="8">
        <v>12</v>
      </c>
      <c r="F36" s="8">
        <v>25</v>
      </c>
      <c r="G36" s="8">
        <v>4.5</v>
      </c>
      <c r="H36" s="9" t="s">
        <v>33</v>
      </c>
      <c r="I36" s="8" t="s">
        <v>23</v>
      </c>
      <c r="J36" s="8" t="s">
        <v>24</v>
      </c>
      <c r="K36" s="8" t="s">
        <v>1</v>
      </c>
      <c r="L36" s="8" t="s">
        <v>15</v>
      </c>
    </row>
    <row r="37" spans="1:12" x14ac:dyDescent="0.25">
      <c r="A37" s="5">
        <v>45327</v>
      </c>
      <c r="B37" s="6">
        <v>13</v>
      </c>
      <c r="C37" s="7">
        <f>VLOOKUP(B37,'Clasificador de productos'!$A$1:$C$282,3)</f>
        <v>15</v>
      </c>
      <c r="D37" s="8" t="str">
        <f>VLOOKUP(B37,'Clasificador de productos'!$A$1:$C$282,2)</f>
        <v>Pijama “Ositos Dormilones”</v>
      </c>
      <c r="E37" s="8">
        <v>10</v>
      </c>
      <c r="F37" s="8">
        <v>57</v>
      </c>
      <c r="G37" s="8">
        <v>4.9000000000000004</v>
      </c>
      <c r="H37" s="9" t="s">
        <v>33</v>
      </c>
      <c r="I37" s="8" t="s">
        <v>26</v>
      </c>
      <c r="J37" s="8" t="s">
        <v>27</v>
      </c>
      <c r="K37" s="8" t="s">
        <v>2</v>
      </c>
      <c r="L37" s="8" t="s">
        <v>32</v>
      </c>
    </row>
    <row r="38" spans="1:12" x14ac:dyDescent="0.25">
      <c r="A38" s="5">
        <v>45328</v>
      </c>
      <c r="B38" s="6">
        <v>10</v>
      </c>
      <c r="C38" s="7">
        <f>VLOOKUP(B38,'Clasificador de productos'!$A$1:$C$282,3)</f>
        <v>15</v>
      </c>
      <c r="D38" s="8" t="str">
        <f>VLOOKUP(B38,'Clasificador de productos'!$A$1:$C$282,2)</f>
        <v>Pijama “Dinosaurio Feliz”</v>
      </c>
      <c r="E38" s="8">
        <v>4</v>
      </c>
      <c r="F38" s="8">
        <v>35</v>
      </c>
      <c r="G38" s="8">
        <v>3.8</v>
      </c>
      <c r="H38" s="9" t="s">
        <v>33</v>
      </c>
      <c r="I38" s="8" t="s">
        <v>20</v>
      </c>
      <c r="J38" s="8" t="s">
        <v>21</v>
      </c>
      <c r="K38" s="8" t="s">
        <v>2</v>
      </c>
      <c r="L38" s="8" t="s">
        <v>15</v>
      </c>
    </row>
    <row r="39" spans="1:12" x14ac:dyDescent="0.25">
      <c r="A39" s="5">
        <v>45329</v>
      </c>
      <c r="B39" s="6">
        <v>14</v>
      </c>
      <c r="C39" s="7">
        <f>VLOOKUP(B39,'Clasificador de productos'!$A$1:$C$282,3)</f>
        <v>20</v>
      </c>
      <c r="D39" s="8" t="str">
        <f>VLOOKUP(B39,'Clasificador de productos'!$A$1:$C$282,2)</f>
        <v>Pijama “Arcoíris Mágico”</v>
      </c>
      <c r="E39" s="8">
        <v>6</v>
      </c>
      <c r="F39" s="8">
        <v>49</v>
      </c>
      <c r="G39" s="8">
        <v>4.4000000000000004</v>
      </c>
      <c r="H39" s="9" t="s">
        <v>33</v>
      </c>
      <c r="I39" s="8" t="s">
        <v>23</v>
      </c>
      <c r="J39" s="8" t="s">
        <v>27</v>
      </c>
      <c r="K39" s="8" t="s">
        <v>2</v>
      </c>
      <c r="L39" s="8" t="s">
        <v>32</v>
      </c>
    </row>
    <row r="40" spans="1:12" x14ac:dyDescent="0.25">
      <c r="A40" s="5">
        <v>45330</v>
      </c>
      <c r="B40" s="6">
        <v>14</v>
      </c>
      <c r="C40" s="7">
        <f>VLOOKUP(B40,'Clasificador de productos'!$A$1:$C$282,3)</f>
        <v>20</v>
      </c>
      <c r="D40" s="8" t="str">
        <f>VLOOKUP(B40,'Clasificador de productos'!$A$1:$C$282,2)</f>
        <v>Pijama “Arcoíris Mágico”</v>
      </c>
      <c r="E40" s="8">
        <v>8</v>
      </c>
      <c r="F40" s="8">
        <v>58</v>
      </c>
      <c r="G40" s="8">
        <v>4.2</v>
      </c>
      <c r="H40" s="9" t="s">
        <v>33</v>
      </c>
      <c r="I40" s="8" t="s">
        <v>26</v>
      </c>
      <c r="J40" s="8" t="s">
        <v>18</v>
      </c>
      <c r="K40" s="8" t="s">
        <v>2</v>
      </c>
      <c r="L40" s="8" t="s">
        <v>15</v>
      </c>
    </row>
    <row r="41" spans="1:12" x14ac:dyDescent="0.25">
      <c r="A41" s="5">
        <v>45331</v>
      </c>
      <c r="B41" s="6">
        <v>10</v>
      </c>
      <c r="C41" s="7">
        <f>VLOOKUP(B41,'Clasificador de productos'!$A$1:$C$282,3)</f>
        <v>15</v>
      </c>
      <c r="D41" s="8" t="str">
        <f>VLOOKUP(B41,'Clasificador de productos'!$A$1:$C$282,2)</f>
        <v>Pijama “Dinosaurio Feliz”</v>
      </c>
      <c r="E41" s="8">
        <v>4</v>
      </c>
      <c r="F41" s="8">
        <v>35</v>
      </c>
      <c r="G41" s="8">
        <v>4.2</v>
      </c>
      <c r="H41" s="9" t="s">
        <v>33</v>
      </c>
      <c r="I41" s="8" t="s">
        <v>12</v>
      </c>
      <c r="J41" s="8" t="s">
        <v>13</v>
      </c>
      <c r="K41" s="8" t="s">
        <v>1</v>
      </c>
      <c r="L41" s="8" t="s">
        <v>32</v>
      </c>
    </row>
    <row r="42" spans="1:12" x14ac:dyDescent="0.25">
      <c r="A42" s="5">
        <v>45332</v>
      </c>
      <c r="B42" s="6">
        <v>14</v>
      </c>
      <c r="C42" s="7">
        <f>VLOOKUP(B42,'Clasificador de productos'!$A$1:$C$282,3)</f>
        <v>20</v>
      </c>
      <c r="D42" s="8" t="str">
        <f>VLOOKUP(B42,'Clasificador de productos'!$A$1:$C$282,2)</f>
        <v>Pijama “Arcoíris Mágico”</v>
      </c>
      <c r="E42" s="8">
        <v>10</v>
      </c>
      <c r="F42" s="8">
        <v>41</v>
      </c>
      <c r="G42" s="8">
        <v>4.2</v>
      </c>
      <c r="H42" s="9" t="s">
        <v>33</v>
      </c>
      <c r="I42" s="8" t="s">
        <v>14</v>
      </c>
      <c r="J42" s="8" t="s">
        <v>24</v>
      </c>
      <c r="K42" s="8" t="s">
        <v>2</v>
      </c>
      <c r="L42" s="8" t="s">
        <v>15</v>
      </c>
    </row>
    <row r="43" spans="1:12" x14ac:dyDescent="0.25">
      <c r="A43" s="5">
        <v>45333</v>
      </c>
      <c r="B43" s="6">
        <v>10</v>
      </c>
      <c r="C43" s="7">
        <f>VLOOKUP(B43,'Clasificador de productos'!$A$1:$C$282,3)</f>
        <v>15</v>
      </c>
      <c r="D43" s="8" t="str">
        <f>VLOOKUP(B43,'Clasificador de productos'!$A$1:$C$282,2)</f>
        <v>Pijama “Dinosaurio Feliz”</v>
      </c>
      <c r="E43" s="8">
        <v>14</v>
      </c>
      <c r="F43" s="8">
        <v>46</v>
      </c>
      <c r="G43" s="8">
        <v>3.8</v>
      </c>
      <c r="H43" s="9" t="s">
        <v>33</v>
      </c>
      <c r="I43" s="8" t="s">
        <v>17</v>
      </c>
      <c r="J43" s="8" t="s">
        <v>21</v>
      </c>
      <c r="K43" s="8" t="s">
        <v>1</v>
      </c>
      <c r="L43" s="8" t="s">
        <v>32</v>
      </c>
    </row>
    <row r="44" spans="1:12" x14ac:dyDescent="0.25">
      <c r="A44" s="5">
        <v>45334</v>
      </c>
      <c r="B44" s="6">
        <v>12</v>
      </c>
      <c r="C44" s="7">
        <f>VLOOKUP(B44,'Clasificador de productos'!$A$1:$C$282,3)</f>
        <v>18</v>
      </c>
      <c r="D44" s="8" t="str">
        <f>VLOOKUP(B44,'Clasificador de productos'!$A$1:$C$282,2)</f>
        <v>Pijama “Super Espacio”</v>
      </c>
      <c r="E44" s="8">
        <v>6</v>
      </c>
      <c r="F44" s="8">
        <v>48</v>
      </c>
      <c r="G44" s="8">
        <v>4.5</v>
      </c>
      <c r="H44" s="9" t="s">
        <v>33</v>
      </c>
      <c r="I44" s="8" t="s">
        <v>20</v>
      </c>
      <c r="J44" s="8" t="s">
        <v>35</v>
      </c>
      <c r="K44" s="8" t="s">
        <v>2</v>
      </c>
      <c r="L44" s="8" t="s">
        <v>15</v>
      </c>
    </row>
    <row r="45" spans="1:12" x14ac:dyDescent="0.25">
      <c r="A45" s="5">
        <v>45335</v>
      </c>
      <c r="B45" s="6">
        <v>12</v>
      </c>
      <c r="C45" s="7">
        <f>VLOOKUP(B45,'Clasificador de productos'!$A$1:$C$282,3)</f>
        <v>18</v>
      </c>
      <c r="D45" s="8" t="str">
        <f>VLOOKUP(B45,'Clasificador de productos'!$A$1:$C$282,2)</f>
        <v>Pijama “Super Espacio”</v>
      </c>
      <c r="E45" s="8">
        <v>8</v>
      </c>
      <c r="F45" s="8">
        <v>30</v>
      </c>
      <c r="G45" s="8">
        <v>4.8</v>
      </c>
      <c r="H45" s="9" t="s">
        <v>33</v>
      </c>
      <c r="I45" s="8" t="s">
        <v>17</v>
      </c>
      <c r="J45" s="8" t="s">
        <v>27</v>
      </c>
      <c r="K45" s="8" t="s">
        <v>1</v>
      </c>
      <c r="L45" s="8" t="s">
        <v>32</v>
      </c>
    </row>
    <row r="46" spans="1:12" x14ac:dyDescent="0.25">
      <c r="A46" s="5">
        <v>45336</v>
      </c>
      <c r="B46" s="6">
        <v>11</v>
      </c>
      <c r="C46" s="7">
        <f>VLOOKUP(B46,'Clasificador de productos'!$A$1:$C$282,3)</f>
        <v>20</v>
      </c>
      <c r="D46" s="8" t="str">
        <f>VLOOKUP(B46,'Clasificador de productos'!$A$1:$C$282,2)</f>
        <v>Pijama “Aventura Nocturna”</v>
      </c>
      <c r="E46" s="8">
        <v>10</v>
      </c>
      <c r="F46" s="8">
        <v>51</v>
      </c>
      <c r="G46" s="8">
        <v>4.4000000000000004</v>
      </c>
      <c r="H46" s="9" t="s">
        <v>33</v>
      </c>
      <c r="I46" s="8" t="s">
        <v>12</v>
      </c>
      <c r="J46" s="8" t="s">
        <v>18</v>
      </c>
      <c r="K46" s="8" t="s">
        <v>2</v>
      </c>
      <c r="L46" s="8" t="s">
        <v>15</v>
      </c>
    </row>
    <row r="47" spans="1:12" x14ac:dyDescent="0.25">
      <c r="A47" s="5">
        <v>45337</v>
      </c>
      <c r="B47" s="6">
        <v>14</v>
      </c>
      <c r="C47" s="7">
        <f>VLOOKUP(B47,'Clasificador de productos'!$A$1:$C$282,3)</f>
        <v>20</v>
      </c>
      <c r="D47" s="8" t="str">
        <f>VLOOKUP(B47,'Clasificador de productos'!$A$1:$C$282,2)</f>
        <v>Pijama “Arcoíris Mágico”</v>
      </c>
      <c r="E47" s="8">
        <v>12</v>
      </c>
      <c r="F47" s="8">
        <v>55</v>
      </c>
      <c r="G47" s="8">
        <v>4.8</v>
      </c>
      <c r="H47" s="9" t="s">
        <v>33</v>
      </c>
      <c r="I47" s="8" t="s">
        <v>14</v>
      </c>
      <c r="J47" s="8" t="s">
        <v>35</v>
      </c>
      <c r="K47" s="8" t="s">
        <v>1</v>
      </c>
      <c r="L47" s="8" t="s">
        <v>32</v>
      </c>
    </row>
    <row r="48" spans="1:12" x14ac:dyDescent="0.25">
      <c r="A48" s="5">
        <v>45338</v>
      </c>
      <c r="B48" s="6">
        <v>14</v>
      </c>
      <c r="C48" s="7">
        <f>VLOOKUP(B48,'Clasificador de productos'!$A$1:$C$282,3)</f>
        <v>20</v>
      </c>
      <c r="D48" s="8" t="str">
        <f>VLOOKUP(B48,'Clasificador de productos'!$A$1:$C$282,2)</f>
        <v>Pijama “Arcoíris Mágico”</v>
      </c>
      <c r="E48" s="8">
        <v>4</v>
      </c>
      <c r="F48" s="8">
        <v>59</v>
      </c>
      <c r="G48" s="8">
        <v>3.6</v>
      </c>
      <c r="H48" s="9" t="s">
        <v>33</v>
      </c>
      <c r="I48" s="8" t="s">
        <v>17</v>
      </c>
      <c r="J48" s="8" t="s">
        <v>27</v>
      </c>
      <c r="K48" s="8" t="s">
        <v>2</v>
      </c>
      <c r="L48" s="8" t="s">
        <v>15</v>
      </c>
    </row>
    <row r="49" spans="1:12" x14ac:dyDescent="0.25">
      <c r="A49" s="5">
        <v>45339</v>
      </c>
      <c r="B49" s="6">
        <v>14</v>
      </c>
      <c r="C49" s="7">
        <f>VLOOKUP(B49,'Clasificador de productos'!$A$1:$C$282,3)</f>
        <v>20</v>
      </c>
      <c r="D49" s="8" t="str">
        <f>VLOOKUP(B49,'Clasificador de productos'!$A$1:$C$282,2)</f>
        <v>Pijama “Arcoíris Mágico”</v>
      </c>
      <c r="E49" s="8">
        <v>6</v>
      </c>
      <c r="F49" s="8">
        <v>52</v>
      </c>
      <c r="G49" s="8">
        <v>4.5</v>
      </c>
      <c r="H49" s="9" t="s">
        <v>33</v>
      </c>
      <c r="I49" s="8" t="s">
        <v>20</v>
      </c>
      <c r="J49" s="8" t="s">
        <v>21</v>
      </c>
      <c r="K49" s="8" t="s">
        <v>1</v>
      </c>
      <c r="L49" s="8" t="s">
        <v>32</v>
      </c>
    </row>
    <row r="50" spans="1:12" x14ac:dyDescent="0.25">
      <c r="A50" s="5">
        <v>45340</v>
      </c>
      <c r="B50" s="6">
        <v>13</v>
      </c>
      <c r="C50" s="7">
        <f>VLOOKUP(B50,'Clasificador de productos'!$A$1:$C$282,3)</f>
        <v>15</v>
      </c>
      <c r="D50" s="8" t="str">
        <f>VLOOKUP(B50,'Clasificador de productos'!$A$1:$C$282,2)</f>
        <v>Pijama “Ositos Dormilones”</v>
      </c>
      <c r="E50" s="8">
        <v>14</v>
      </c>
      <c r="F50" s="8">
        <v>25</v>
      </c>
      <c r="G50" s="8">
        <v>4.9000000000000004</v>
      </c>
      <c r="H50" s="9" t="s">
        <v>33</v>
      </c>
      <c r="I50" s="8" t="s">
        <v>23</v>
      </c>
      <c r="J50" s="8" t="s">
        <v>13</v>
      </c>
      <c r="K50" s="8" t="s">
        <v>2</v>
      </c>
      <c r="L50" s="8" t="s">
        <v>15</v>
      </c>
    </row>
    <row r="51" spans="1:12" x14ac:dyDescent="0.25">
      <c r="A51" s="5">
        <v>45341</v>
      </c>
      <c r="B51" s="6">
        <v>11</v>
      </c>
      <c r="C51" s="7">
        <f>VLOOKUP(B51,'Clasificador de productos'!$A$1:$C$282,3)</f>
        <v>20</v>
      </c>
      <c r="D51" s="8" t="str">
        <f>VLOOKUP(B51,'Clasificador de productos'!$A$1:$C$282,2)</f>
        <v>Pijama “Aventura Nocturna”</v>
      </c>
      <c r="E51" s="8">
        <v>6</v>
      </c>
      <c r="F51" s="8">
        <v>44</v>
      </c>
      <c r="G51" s="8">
        <v>3.8</v>
      </c>
      <c r="H51" s="9" t="s">
        <v>33</v>
      </c>
      <c r="I51" s="8" t="s">
        <v>26</v>
      </c>
      <c r="J51" s="8" t="s">
        <v>18</v>
      </c>
      <c r="K51" s="8" t="s">
        <v>1</v>
      </c>
      <c r="L51" s="8" t="s">
        <v>32</v>
      </c>
    </row>
    <row r="52" spans="1:12" x14ac:dyDescent="0.25">
      <c r="A52" s="5">
        <v>45342</v>
      </c>
      <c r="B52" s="6">
        <v>12</v>
      </c>
      <c r="C52" s="7">
        <f>VLOOKUP(B52,'Clasificador de productos'!$A$1:$C$282,3)</f>
        <v>18</v>
      </c>
      <c r="D52" s="8" t="str">
        <f>VLOOKUP(B52,'Clasificador de productos'!$A$1:$C$282,2)</f>
        <v>Pijama “Super Espacio”</v>
      </c>
      <c r="E52" s="8">
        <v>8</v>
      </c>
      <c r="F52" s="8">
        <v>49</v>
      </c>
      <c r="G52" s="8">
        <v>4.4000000000000004</v>
      </c>
      <c r="H52" s="9" t="s">
        <v>33</v>
      </c>
      <c r="I52" s="8" t="s">
        <v>12</v>
      </c>
      <c r="J52" s="8" t="s">
        <v>27</v>
      </c>
      <c r="K52" s="8" t="s">
        <v>2</v>
      </c>
      <c r="L52" s="8" t="s">
        <v>15</v>
      </c>
    </row>
    <row r="53" spans="1:12" x14ac:dyDescent="0.25">
      <c r="A53" s="5">
        <v>45343</v>
      </c>
      <c r="B53" s="6">
        <v>11</v>
      </c>
      <c r="C53" s="7">
        <f>VLOOKUP(B53,'Clasificador de productos'!$A$1:$C$282,3)</f>
        <v>20</v>
      </c>
      <c r="D53" s="8" t="str">
        <f>VLOOKUP(B53,'Clasificador de productos'!$A$1:$C$282,2)</f>
        <v>Pijama “Aventura Nocturna”</v>
      </c>
      <c r="E53" s="8">
        <v>10</v>
      </c>
      <c r="F53" s="8">
        <v>54</v>
      </c>
      <c r="G53" s="8">
        <v>4.2</v>
      </c>
      <c r="H53" s="9" t="s">
        <v>33</v>
      </c>
      <c r="I53" s="8" t="s">
        <v>14</v>
      </c>
      <c r="J53" s="8" t="s">
        <v>24</v>
      </c>
      <c r="K53" s="8" t="s">
        <v>1</v>
      </c>
      <c r="L53" s="8" t="s">
        <v>32</v>
      </c>
    </row>
    <row r="54" spans="1:12" x14ac:dyDescent="0.25">
      <c r="A54" s="5">
        <v>45344</v>
      </c>
      <c r="B54" s="6">
        <v>13</v>
      </c>
      <c r="C54" s="7">
        <f>VLOOKUP(B54,'Clasificador de productos'!$A$1:$C$282,3)</f>
        <v>15</v>
      </c>
      <c r="D54" s="8" t="str">
        <f>VLOOKUP(B54,'Clasificador de productos'!$A$1:$C$282,2)</f>
        <v>Pijama “Ositos Dormilones”</v>
      </c>
      <c r="E54" s="8">
        <v>12</v>
      </c>
      <c r="F54" s="8">
        <v>38</v>
      </c>
      <c r="G54" s="8">
        <v>4.2</v>
      </c>
      <c r="H54" s="9" t="s">
        <v>33</v>
      </c>
      <c r="I54" s="8" t="s">
        <v>17</v>
      </c>
      <c r="J54" s="8" t="s">
        <v>21</v>
      </c>
      <c r="K54" s="8" t="s">
        <v>1</v>
      </c>
      <c r="L54" s="8" t="s">
        <v>15</v>
      </c>
    </row>
    <row r="55" spans="1:12" x14ac:dyDescent="0.25">
      <c r="A55" s="5">
        <v>45345</v>
      </c>
      <c r="B55" s="6">
        <v>12</v>
      </c>
      <c r="C55" s="7">
        <f>VLOOKUP(B55,'Clasificador de productos'!$A$1:$C$282,3)</f>
        <v>18</v>
      </c>
      <c r="D55" s="8" t="str">
        <f>VLOOKUP(B55,'Clasificador de productos'!$A$1:$C$282,2)</f>
        <v>Pijama “Super Espacio”</v>
      </c>
      <c r="E55" s="8">
        <v>4</v>
      </c>
      <c r="F55" s="8">
        <v>27</v>
      </c>
      <c r="G55" s="8">
        <v>4.2</v>
      </c>
      <c r="H55" s="9" t="s">
        <v>33</v>
      </c>
      <c r="I55" s="8" t="s">
        <v>20</v>
      </c>
      <c r="J55" s="8" t="s">
        <v>24</v>
      </c>
      <c r="K55" s="8" t="s">
        <v>1</v>
      </c>
      <c r="L55" s="8" t="s">
        <v>32</v>
      </c>
    </row>
    <row r="56" spans="1:12" x14ac:dyDescent="0.25">
      <c r="A56" s="5">
        <v>45346</v>
      </c>
      <c r="B56" s="6">
        <v>10</v>
      </c>
      <c r="C56" s="7">
        <f>VLOOKUP(B56,'Clasificador de productos'!$A$1:$C$282,3)</f>
        <v>15</v>
      </c>
      <c r="D56" s="8" t="str">
        <f>VLOOKUP(B56,'Clasificador de productos'!$A$1:$C$282,2)</f>
        <v>Pijama “Dinosaurio Feliz”</v>
      </c>
      <c r="E56" s="8">
        <v>6</v>
      </c>
      <c r="F56" s="8">
        <v>56</v>
      </c>
      <c r="G56" s="8">
        <v>4.8</v>
      </c>
      <c r="H56" s="9" t="s">
        <v>33</v>
      </c>
      <c r="I56" s="8" t="s">
        <v>17</v>
      </c>
      <c r="J56" s="8" t="s">
        <v>35</v>
      </c>
      <c r="K56" s="8" t="s">
        <v>2</v>
      </c>
      <c r="L56" s="8" t="s">
        <v>32</v>
      </c>
    </row>
    <row r="57" spans="1:12" x14ac:dyDescent="0.25">
      <c r="A57" s="5">
        <v>45347</v>
      </c>
      <c r="B57" s="6">
        <v>13</v>
      </c>
      <c r="C57" s="7">
        <f>VLOOKUP(B57,'Clasificador de productos'!$A$1:$C$282,3)</f>
        <v>15</v>
      </c>
      <c r="D57" s="8" t="str">
        <f>VLOOKUP(B57,'Clasificador de productos'!$A$1:$C$282,2)</f>
        <v>Pijama “Ositos Dormilones”</v>
      </c>
      <c r="E57" s="8">
        <v>10</v>
      </c>
      <c r="F57" s="8">
        <v>33</v>
      </c>
      <c r="G57" s="8">
        <v>4.4000000000000004</v>
      </c>
      <c r="H57" s="9" t="s">
        <v>33</v>
      </c>
      <c r="I57" s="8" t="s">
        <v>20</v>
      </c>
      <c r="J57" s="8" t="s">
        <v>27</v>
      </c>
      <c r="K57" s="8" t="s">
        <v>1</v>
      </c>
      <c r="L57" s="8" t="s">
        <v>32</v>
      </c>
    </row>
    <row r="58" spans="1:12" x14ac:dyDescent="0.25">
      <c r="A58" s="5">
        <v>45348</v>
      </c>
      <c r="B58" s="6">
        <v>14</v>
      </c>
      <c r="C58" s="7">
        <f>VLOOKUP(B58,'Clasificador de productos'!$A$1:$C$282,3)</f>
        <v>20</v>
      </c>
      <c r="D58" s="8" t="str">
        <f>VLOOKUP(B58,'Clasificador de productos'!$A$1:$C$282,2)</f>
        <v>Pijama “Arcoíris Mágico”</v>
      </c>
      <c r="E58" s="8">
        <v>4</v>
      </c>
      <c r="F58" s="8">
        <v>48</v>
      </c>
      <c r="G58" s="8">
        <v>4.8</v>
      </c>
      <c r="H58" s="9" t="s">
        <v>33</v>
      </c>
      <c r="I58" s="8" t="s">
        <v>23</v>
      </c>
      <c r="J58" s="8" t="s">
        <v>18</v>
      </c>
      <c r="K58" s="8" t="s">
        <v>2</v>
      </c>
      <c r="L58" s="8" t="s">
        <v>15</v>
      </c>
    </row>
    <row r="59" spans="1:12" x14ac:dyDescent="0.25">
      <c r="A59" s="5">
        <v>45349</v>
      </c>
      <c r="B59" s="6">
        <v>14</v>
      </c>
      <c r="C59" s="7">
        <f>VLOOKUP(B59,'Clasificador de productos'!$A$1:$C$282,3)</f>
        <v>20</v>
      </c>
      <c r="D59" s="8" t="str">
        <f>VLOOKUP(B59,'Clasificador de productos'!$A$1:$C$282,2)</f>
        <v>Pijama “Arcoíris Mágico”</v>
      </c>
      <c r="E59" s="8">
        <v>8</v>
      </c>
      <c r="F59" s="8">
        <v>37</v>
      </c>
      <c r="G59" s="8">
        <v>3.6</v>
      </c>
      <c r="H59" s="9" t="s">
        <v>33</v>
      </c>
      <c r="I59" s="8" t="s">
        <v>26</v>
      </c>
      <c r="J59" s="8" t="s">
        <v>35</v>
      </c>
      <c r="K59" s="8" t="s">
        <v>1</v>
      </c>
      <c r="L59" s="8" t="s">
        <v>32</v>
      </c>
    </row>
    <row r="60" spans="1:12" x14ac:dyDescent="0.25">
      <c r="A60" s="5">
        <v>45350</v>
      </c>
      <c r="B60" s="6">
        <v>14</v>
      </c>
      <c r="C60" s="7">
        <f>VLOOKUP(B60,'Clasificador de productos'!$A$1:$C$282,3)</f>
        <v>20</v>
      </c>
      <c r="D60" s="8" t="str">
        <f>VLOOKUP(B60,'Clasificador de productos'!$A$1:$C$282,2)</f>
        <v>Pijama “Arcoíris Mágico”</v>
      </c>
      <c r="E60" s="8">
        <v>8</v>
      </c>
      <c r="F60" s="8">
        <v>25</v>
      </c>
      <c r="G60" s="8">
        <v>4.5</v>
      </c>
      <c r="H60" s="9" t="s">
        <v>33</v>
      </c>
      <c r="I60" s="8" t="s">
        <v>20</v>
      </c>
      <c r="J60" s="8" t="s">
        <v>13</v>
      </c>
      <c r="K60" s="8" t="s">
        <v>2</v>
      </c>
      <c r="L60" s="8" t="s">
        <v>15</v>
      </c>
    </row>
    <row r="61" spans="1:12" x14ac:dyDescent="0.25">
      <c r="A61" s="5">
        <v>45351</v>
      </c>
      <c r="B61" s="6">
        <v>12</v>
      </c>
      <c r="C61" s="7">
        <f>VLOOKUP(B61,'Clasificador de productos'!$A$1:$C$282,3)</f>
        <v>18</v>
      </c>
      <c r="D61" s="8" t="str">
        <f>VLOOKUP(B61,'Clasificador de productos'!$A$1:$C$282,2)</f>
        <v>Pijama “Super Espacio”</v>
      </c>
      <c r="E61" s="8">
        <v>4</v>
      </c>
      <c r="F61" s="8">
        <v>51</v>
      </c>
      <c r="G61" s="8">
        <v>4.9000000000000004</v>
      </c>
      <c r="H61" s="9" t="s">
        <v>33</v>
      </c>
      <c r="I61" s="8" t="s">
        <v>23</v>
      </c>
      <c r="J61" s="8" t="s">
        <v>18</v>
      </c>
      <c r="K61" s="8" t="s">
        <v>1</v>
      </c>
      <c r="L61" s="8" t="s">
        <v>32</v>
      </c>
    </row>
    <row r="62" spans="1:12" x14ac:dyDescent="0.25">
      <c r="A62" s="5">
        <v>45352</v>
      </c>
      <c r="B62" s="6">
        <v>14</v>
      </c>
      <c r="C62" s="7">
        <f>VLOOKUP(B62,'Clasificador de productos'!$A$1:$C$282,3)</f>
        <v>20</v>
      </c>
      <c r="D62" s="8" t="str">
        <f>VLOOKUP(B62,'Clasificador de productos'!$A$1:$C$282,2)</f>
        <v>Pijama “Arcoíris Mágico”</v>
      </c>
      <c r="E62" s="8">
        <v>6</v>
      </c>
      <c r="F62" s="8">
        <v>57</v>
      </c>
      <c r="G62" s="8">
        <v>4.9000000000000004</v>
      </c>
      <c r="H62" s="9" t="s">
        <v>36</v>
      </c>
      <c r="I62" s="8" t="s">
        <v>26</v>
      </c>
      <c r="J62" s="8" t="s">
        <v>21</v>
      </c>
      <c r="K62" s="8" t="s">
        <v>2</v>
      </c>
      <c r="L62" s="8" t="s">
        <v>15</v>
      </c>
    </row>
    <row r="63" spans="1:12" x14ac:dyDescent="0.25">
      <c r="A63" s="5">
        <v>45353</v>
      </c>
      <c r="B63" s="6">
        <v>10</v>
      </c>
      <c r="C63" s="7">
        <f>VLOOKUP(B63,'Clasificador de productos'!$A$1:$C$282,3)</f>
        <v>15</v>
      </c>
      <c r="D63" s="8" t="str">
        <f>VLOOKUP(B63,'Clasificador de productos'!$A$1:$C$282,2)</f>
        <v>Pijama “Dinosaurio Feliz”</v>
      </c>
      <c r="E63" s="8">
        <v>12</v>
      </c>
      <c r="F63" s="8">
        <v>54</v>
      </c>
      <c r="G63" s="8">
        <v>3.8</v>
      </c>
      <c r="H63" s="9" t="s">
        <v>36</v>
      </c>
      <c r="I63" s="8" t="s">
        <v>12</v>
      </c>
      <c r="J63" s="8" t="s">
        <v>27</v>
      </c>
      <c r="K63" s="8" t="s">
        <v>1</v>
      </c>
      <c r="L63" s="8" t="s">
        <v>32</v>
      </c>
    </row>
    <row r="64" spans="1:12" x14ac:dyDescent="0.25">
      <c r="A64" s="5">
        <v>45354</v>
      </c>
      <c r="B64" s="6">
        <v>14</v>
      </c>
      <c r="C64" s="7">
        <f>VLOOKUP(B64,'Clasificador de productos'!$A$1:$C$282,3)</f>
        <v>20</v>
      </c>
      <c r="D64" s="8" t="str">
        <f>VLOOKUP(B64,'Clasificador de productos'!$A$1:$C$282,2)</f>
        <v>Pijama “Arcoíris Mágico”</v>
      </c>
      <c r="E64" s="10">
        <v>14</v>
      </c>
      <c r="F64" s="8">
        <v>33</v>
      </c>
      <c r="G64" s="8">
        <v>4.4000000000000004</v>
      </c>
      <c r="H64" s="9" t="s">
        <v>36</v>
      </c>
      <c r="I64" s="8" t="s">
        <v>14</v>
      </c>
      <c r="J64" s="8" t="s">
        <v>21</v>
      </c>
      <c r="K64" s="8" t="s">
        <v>2</v>
      </c>
      <c r="L64" s="8" t="s">
        <v>15</v>
      </c>
    </row>
    <row r="65" spans="1:12" x14ac:dyDescent="0.25">
      <c r="A65" s="5">
        <v>45355</v>
      </c>
      <c r="B65" s="6">
        <v>14</v>
      </c>
      <c r="C65" s="7">
        <f>VLOOKUP(B65,'Clasificador de productos'!$A$1:$C$282,3)</f>
        <v>20</v>
      </c>
      <c r="D65" s="8" t="str">
        <f>VLOOKUP(B65,'Clasificador de productos'!$A$1:$C$282,2)</f>
        <v>Pijama “Arcoíris Mágico”</v>
      </c>
      <c r="E65" s="8">
        <v>4</v>
      </c>
      <c r="F65" s="8">
        <v>27</v>
      </c>
      <c r="G65" s="8">
        <v>4.2</v>
      </c>
      <c r="H65" s="9" t="s">
        <v>36</v>
      </c>
      <c r="I65" s="8" t="s">
        <v>17</v>
      </c>
      <c r="J65" s="8" t="s">
        <v>18</v>
      </c>
      <c r="K65" s="8" t="s">
        <v>2</v>
      </c>
      <c r="L65" s="8" t="s">
        <v>32</v>
      </c>
    </row>
    <row r="66" spans="1:12" x14ac:dyDescent="0.25">
      <c r="A66" s="5">
        <v>45356</v>
      </c>
      <c r="B66" s="6">
        <v>13</v>
      </c>
      <c r="C66" s="7">
        <f>VLOOKUP(B66,'Clasificador de productos'!$A$1:$C$282,3)</f>
        <v>15</v>
      </c>
      <c r="D66" s="8" t="str">
        <f>VLOOKUP(B66,'Clasificador de productos'!$A$1:$C$282,2)</f>
        <v>Pijama “Ositos Dormilones”</v>
      </c>
      <c r="E66" s="10">
        <v>10</v>
      </c>
      <c r="F66" s="8">
        <v>39</v>
      </c>
      <c r="G66" s="8">
        <v>4.5</v>
      </c>
      <c r="H66" s="9" t="s">
        <v>36</v>
      </c>
      <c r="I66" s="8" t="s">
        <v>20</v>
      </c>
      <c r="J66" s="8" t="s">
        <v>27</v>
      </c>
      <c r="K66" s="8" t="s">
        <v>2</v>
      </c>
      <c r="L66" s="8" t="s">
        <v>15</v>
      </c>
    </row>
    <row r="67" spans="1:12" x14ac:dyDescent="0.25">
      <c r="A67" s="5">
        <v>45357</v>
      </c>
      <c r="B67" s="6">
        <v>11</v>
      </c>
      <c r="C67" s="7">
        <f>VLOOKUP(B67,'Clasificador de productos'!$A$1:$C$282,3)</f>
        <v>20</v>
      </c>
      <c r="D67" s="8" t="str">
        <f>VLOOKUP(B67,'Clasificador de productos'!$A$1:$C$282,2)</f>
        <v>Pijama “Aventura Nocturna”</v>
      </c>
      <c r="E67" s="8">
        <v>8</v>
      </c>
      <c r="F67" s="8">
        <v>27</v>
      </c>
      <c r="G67" s="8">
        <v>4.8</v>
      </c>
      <c r="H67" s="9" t="s">
        <v>36</v>
      </c>
      <c r="I67" s="8" t="s">
        <v>17</v>
      </c>
      <c r="J67" s="8" t="s">
        <v>21</v>
      </c>
      <c r="K67" s="8" t="s">
        <v>2</v>
      </c>
      <c r="L67" s="8" t="s">
        <v>32</v>
      </c>
    </row>
    <row r="68" spans="1:12" x14ac:dyDescent="0.25">
      <c r="A68" s="5">
        <v>45358</v>
      </c>
      <c r="B68" s="6">
        <v>13</v>
      </c>
      <c r="C68" s="7">
        <f>VLOOKUP(B68,'Clasificador de productos'!$A$1:$C$282,3)</f>
        <v>15</v>
      </c>
      <c r="D68" s="8" t="str">
        <f>VLOOKUP(B68,'Clasificador de productos'!$A$1:$C$282,2)</f>
        <v>Pijama “Ositos Dormilones”</v>
      </c>
      <c r="E68" s="10">
        <v>6</v>
      </c>
      <c r="F68" s="8">
        <v>45</v>
      </c>
      <c r="G68" s="8">
        <v>4.4000000000000004</v>
      </c>
      <c r="H68" s="9" t="s">
        <v>36</v>
      </c>
      <c r="I68" s="8" t="s">
        <v>12</v>
      </c>
      <c r="J68" s="8" t="s">
        <v>24</v>
      </c>
      <c r="K68" s="8" t="s">
        <v>2</v>
      </c>
      <c r="L68" s="8" t="s">
        <v>15</v>
      </c>
    </row>
    <row r="69" spans="1:12" x14ac:dyDescent="0.25">
      <c r="A69" s="5">
        <v>45359</v>
      </c>
      <c r="B69" s="6">
        <v>13</v>
      </c>
      <c r="C69" s="7">
        <f>VLOOKUP(B69,'Clasificador de productos'!$A$1:$C$282,3)</f>
        <v>15</v>
      </c>
      <c r="D69" s="8" t="str">
        <f>VLOOKUP(B69,'Clasificador de productos'!$A$1:$C$282,2)</f>
        <v>Pijama “Ositos Dormilones”</v>
      </c>
      <c r="E69" s="8">
        <v>4</v>
      </c>
      <c r="F69" s="8">
        <v>47</v>
      </c>
      <c r="G69" s="8">
        <v>4.8</v>
      </c>
      <c r="H69" s="9" t="s">
        <v>36</v>
      </c>
      <c r="I69" s="8" t="s">
        <v>14</v>
      </c>
      <c r="J69" s="8" t="s">
        <v>18</v>
      </c>
      <c r="K69" s="8" t="s">
        <v>2</v>
      </c>
      <c r="L69" s="8" t="s">
        <v>32</v>
      </c>
    </row>
    <row r="70" spans="1:12" x14ac:dyDescent="0.25">
      <c r="A70" s="5">
        <v>45360</v>
      </c>
      <c r="B70" s="6">
        <v>13</v>
      </c>
      <c r="C70" s="7">
        <f>VLOOKUP(B70,'Clasificador de productos'!$A$1:$C$282,3)</f>
        <v>15</v>
      </c>
      <c r="D70" s="8" t="str">
        <f>VLOOKUP(B70,'Clasificador de productos'!$A$1:$C$282,2)</f>
        <v>Pijama “Ositos Dormilones”</v>
      </c>
      <c r="E70" s="8">
        <v>8</v>
      </c>
      <c r="F70" s="8">
        <v>51</v>
      </c>
      <c r="G70" s="8">
        <v>3.6</v>
      </c>
      <c r="H70" s="9" t="s">
        <v>36</v>
      </c>
      <c r="I70" s="8" t="s">
        <v>17</v>
      </c>
      <c r="J70" s="8" t="s">
        <v>24</v>
      </c>
      <c r="K70" s="8" t="s">
        <v>1</v>
      </c>
      <c r="L70" s="8" t="s">
        <v>15</v>
      </c>
    </row>
    <row r="71" spans="1:12" x14ac:dyDescent="0.25">
      <c r="A71" s="5">
        <v>45361</v>
      </c>
      <c r="B71" s="6">
        <v>13</v>
      </c>
      <c r="C71" s="7">
        <f>VLOOKUP(B71,'Clasificador de productos'!$A$1:$C$282,3)</f>
        <v>15</v>
      </c>
      <c r="D71" s="8" t="str">
        <f>VLOOKUP(B71,'Clasificador de productos'!$A$1:$C$282,2)</f>
        <v>Pijama “Ositos Dormilones”</v>
      </c>
      <c r="E71" s="8">
        <v>12</v>
      </c>
      <c r="F71" s="8">
        <v>32</v>
      </c>
      <c r="G71" s="8">
        <v>4.5</v>
      </c>
      <c r="H71" s="9" t="s">
        <v>36</v>
      </c>
      <c r="I71" s="8" t="s">
        <v>20</v>
      </c>
      <c r="J71" s="8" t="s">
        <v>13</v>
      </c>
      <c r="K71" s="8" t="s">
        <v>2</v>
      </c>
      <c r="L71" s="8" t="s">
        <v>32</v>
      </c>
    </row>
    <row r="72" spans="1:12" x14ac:dyDescent="0.25">
      <c r="A72" s="5">
        <v>45362</v>
      </c>
      <c r="B72" s="6">
        <v>12</v>
      </c>
      <c r="C72" s="7">
        <f>VLOOKUP(B72,'Clasificador de productos'!$A$1:$C$282,3)</f>
        <v>18</v>
      </c>
      <c r="D72" s="8" t="str">
        <f>VLOOKUP(B72,'Clasificador de productos'!$A$1:$C$282,2)</f>
        <v>Pijama “Super Espacio”</v>
      </c>
      <c r="E72" s="8">
        <v>4</v>
      </c>
      <c r="F72" s="8">
        <v>32</v>
      </c>
      <c r="G72" s="8">
        <v>4.9000000000000004</v>
      </c>
      <c r="H72" s="9" t="s">
        <v>36</v>
      </c>
      <c r="I72" s="8" t="s">
        <v>23</v>
      </c>
      <c r="J72" s="8" t="s">
        <v>35</v>
      </c>
      <c r="K72" s="8" t="s">
        <v>1</v>
      </c>
      <c r="L72" s="8" t="s">
        <v>15</v>
      </c>
    </row>
    <row r="73" spans="1:12" x14ac:dyDescent="0.25">
      <c r="A73" s="5">
        <v>45363</v>
      </c>
      <c r="B73" s="6">
        <v>14</v>
      </c>
      <c r="C73" s="7">
        <f>VLOOKUP(B73,'Clasificador de productos'!$A$1:$C$282,3)</f>
        <v>20</v>
      </c>
      <c r="D73" s="8" t="str">
        <f>VLOOKUP(B73,'Clasificador de productos'!$A$1:$C$282,2)</f>
        <v>Pijama “Arcoíris Mágico”</v>
      </c>
      <c r="E73" s="8">
        <v>12</v>
      </c>
      <c r="F73" s="8">
        <v>48</v>
      </c>
      <c r="G73" s="8">
        <v>4.9000000000000004</v>
      </c>
      <c r="H73" s="9" t="s">
        <v>36</v>
      </c>
      <c r="I73" s="8" t="s">
        <v>26</v>
      </c>
      <c r="J73" s="8" t="s">
        <v>24</v>
      </c>
      <c r="K73" s="8" t="s">
        <v>2</v>
      </c>
      <c r="L73" s="8" t="s">
        <v>32</v>
      </c>
    </row>
    <row r="74" spans="1:12" x14ac:dyDescent="0.25">
      <c r="A74" s="5">
        <v>45364</v>
      </c>
      <c r="B74" s="6">
        <v>12</v>
      </c>
      <c r="C74" s="7">
        <f>VLOOKUP(B74,'Clasificador de productos'!$A$1:$C$282,3)</f>
        <v>18</v>
      </c>
      <c r="D74" s="8" t="str">
        <f>VLOOKUP(B74,'Clasificador de productos'!$A$1:$C$282,2)</f>
        <v>Pijama “Super Espacio”</v>
      </c>
      <c r="E74" s="8">
        <v>6</v>
      </c>
      <c r="F74" s="8">
        <v>47</v>
      </c>
      <c r="G74" s="8">
        <v>3.8</v>
      </c>
      <c r="H74" s="9" t="s">
        <v>36</v>
      </c>
      <c r="I74" s="8" t="s">
        <v>12</v>
      </c>
      <c r="J74" s="8" t="s">
        <v>18</v>
      </c>
      <c r="K74" s="8" t="s">
        <v>1</v>
      </c>
      <c r="L74" s="8" t="s">
        <v>15</v>
      </c>
    </row>
    <row r="75" spans="1:12" x14ac:dyDescent="0.25">
      <c r="A75" s="5">
        <v>45365</v>
      </c>
      <c r="B75" s="6">
        <v>12</v>
      </c>
      <c r="C75" s="7">
        <f>VLOOKUP(B75,'Clasificador de productos'!$A$1:$C$282,3)</f>
        <v>18</v>
      </c>
      <c r="D75" s="8" t="str">
        <f>VLOOKUP(B75,'Clasificador de productos'!$A$1:$C$282,2)</f>
        <v>Pijama “Super Espacio”</v>
      </c>
      <c r="E75" s="8">
        <v>14</v>
      </c>
      <c r="F75" s="8">
        <v>37</v>
      </c>
      <c r="G75" s="8">
        <v>3.8</v>
      </c>
      <c r="H75" s="9" t="s">
        <v>36</v>
      </c>
      <c r="I75" s="8" t="s">
        <v>14</v>
      </c>
      <c r="J75" s="8" t="s">
        <v>27</v>
      </c>
      <c r="K75" s="8" t="s">
        <v>2</v>
      </c>
      <c r="L75" s="8" t="s">
        <v>32</v>
      </c>
    </row>
    <row r="76" spans="1:12" x14ac:dyDescent="0.25">
      <c r="A76" s="5">
        <v>45366</v>
      </c>
      <c r="B76" s="6">
        <v>14</v>
      </c>
      <c r="C76" s="7">
        <f>VLOOKUP(B76,'Clasificador de productos'!$A$1:$C$282,3)</f>
        <v>20</v>
      </c>
      <c r="D76" s="8" t="str">
        <f>VLOOKUP(B76,'Clasificador de productos'!$A$1:$C$282,2)</f>
        <v>Pijama “Arcoíris Mágico”</v>
      </c>
      <c r="E76" s="8">
        <v>8</v>
      </c>
      <c r="F76" s="8">
        <v>37</v>
      </c>
      <c r="G76" s="8">
        <v>4.4000000000000004</v>
      </c>
      <c r="H76" s="9" t="s">
        <v>36</v>
      </c>
      <c r="I76" s="8" t="s">
        <v>17</v>
      </c>
      <c r="J76" s="8" t="s">
        <v>21</v>
      </c>
      <c r="K76" s="8" t="s">
        <v>1</v>
      </c>
      <c r="L76" s="8" t="s">
        <v>15</v>
      </c>
    </row>
    <row r="77" spans="1:12" x14ac:dyDescent="0.25">
      <c r="A77" s="5">
        <v>45367</v>
      </c>
      <c r="B77" s="6">
        <v>14</v>
      </c>
      <c r="C77" s="7">
        <f>VLOOKUP(B77,'Clasificador de productos'!$A$1:$C$282,3)</f>
        <v>20</v>
      </c>
      <c r="D77" s="8" t="str">
        <f>VLOOKUP(B77,'Clasificador de productos'!$A$1:$C$282,2)</f>
        <v>Pijama “Arcoíris Mágico”</v>
      </c>
      <c r="E77" s="8">
        <v>4</v>
      </c>
      <c r="F77" s="8">
        <v>59</v>
      </c>
      <c r="G77" s="8">
        <v>4.2</v>
      </c>
      <c r="H77" s="9" t="s">
        <v>36</v>
      </c>
      <c r="I77" s="8" t="s">
        <v>20</v>
      </c>
      <c r="J77" s="8" t="s">
        <v>18</v>
      </c>
      <c r="K77" s="8" t="s">
        <v>2</v>
      </c>
      <c r="L77" s="8" t="s">
        <v>32</v>
      </c>
    </row>
    <row r="78" spans="1:12" x14ac:dyDescent="0.25">
      <c r="A78" s="5">
        <v>45368</v>
      </c>
      <c r="B78" s="6">
        <v>11</v>
      </c>
      <c r="C78" s="7">
        <f>VLOOKUP(B78,'Clasificador de productos'!$A$1:$C$282,3)</f>
        <v>20</v>
      </c>
      <c r="D78" s="8" t="str">
        <f>VLOOKUP(B78,'Clasificador de productos'!$A$1:$C$282,2)</f>
        <v>Pijama “Aventura Nocturna”</v>
      </c>
      <c r="E78" s="10">
        <v>10</v>
      </c>
      <c r="F78" s="8">
        <v>44</v>
      </c>
      <c r="G78" s="8">
        <v>4.5</v>
      </c>
      <c r="H78" s="9" t="s">
        <v>36</v>
      </c>
      <c r="I78" s="8" t="s">
        <v>17</v>
      </c>
      <c r="J78" s="8" t="s">
        <v>21</v>
      </c>
      <c r="K78" s="8" t="s">
        <v>2</v>
      </c>
      <c r="L78" s="8" t="s">
        <v>15</v>
      </c>
    </row>
    <row r="79" spans="1:12" x14ac:dyDescent="0.25">
      <c r="A79" s="5">
        <v>45369</v>
      </c>
      <c r="B79" s="6">
        <v>13</v>
      </c>
      <c r="C79" s="7">
        <f>VLOOKUP(B79,'Clasificador de productos'!$A$1:$C$282,3)</f>
        <v>15</v>
      </c>
      <c r="D79" s="8" t="str">
        <f>VLOOKUP(B79,'Clasificador de productos'!$A$1:$C$282,2)</f>
        <v>Pijama “Ositos Dormilones”</v>
      </c>
      <c r="E79" s="10">
        <v>8</v>
      </c>
      <c r="F79" s="8">
        <v>49</v>
      </c>
      <c r="G79" s="8">
        <v>4.8</v>
      </c>
      <c r="H79" s="9" t="s">
        <v>36</v>
      </c>
      <c r="I79" s="8" t="s">
        <v>20</v>
      </c>
      <c r="J79" s="8" t="s">
        <v>27</v>
      </c>
      <c r="K79" s="8" t="s">
        <v>2</v>
      </c>
      <c r="L79" s="8" t="s">
        <v>32</v>
      </c>
    </row>
    <row r="80" spans="1:12" x14ac:dyDescent="0.25">
      <c r="A80" s="5">
        <v>45370</v>
      </c>
      <c r="B80" s="6">
        <v>13</v>
      </c>
      <c r="C80" s="7">
        <f>VLOOKUP(B80,'Clasificador de productos'!$A$1:$C$282,3)</f>
        <v>15</v>
      </c>
      <c r="D80" s="8" t="str">
        <f>VLOOKUP(B80,'Clasificador de productos'!$A$1:$C$282,2)</f>
        <v>Pijama “Ositos Dormilones”</v>
      </c>
      <c r="E80" s="10">
        <v>6</v>
      </c>
      <c r="F80" s="8">
        <v>30</v>
      </c>
      <c r="G80" s="8">
        <v>4.4000000000000004</v>
      </c>
      <c r="H80" s="9" t="s">
        <v>36</v>
      </c>
      <c r="I80" s="8" t="s">
        <v>23</v>
      </c>
      <c r="J80" s="8" t="s">
        <v>21</v>
      </c>
      <c r="K80" s="8" t="s">
        <v>2</v>
      </c>
      <c r="L80" s="8" t="s">
        <v>32</v>
      </c>
    </row>
    <row r="81" spans="1:12" x14ac:dyDescent="0.25">
      <c r="A81" s="5">
        <v>45371</v>
      </c>
      <c r="B81" s="6">
        <v>12</v>
      </c>
      <c r="C81" s="7">
        <f>VLOOKUP(B81,'Clasificador de productos'!$A$1:$C$282,3)</f>
        <v>18</v>
      </c>
      <c r="D81" s="8" t="str">
        <f>VLOOKUP(B81,'Clasificador de productos'!$A$1:$C$282,2)</f>
        <v>Pijama “Super Espacio”</v>
      </c>
      <c r="E81" s="10">
        <v>4</v>
      </c>
      <c r="F81" s="8">
        <v>45</v>
      </c>
      <c r="G81" s="8">
        <v>4.8</v>
      </c>
      <c r="H81" s="9" t="s">
        <v>36</v>
      </c>
      <c r="I81" s="8" t="s">
        <v>26</v>
      </c>
      <c r="J81" s="8" t="s">
        <v>24</v>
      </c>
      <c r="K81" s="8" t="s">
        <v>1</v>
      </c>
      <c r="L81" s="8" t="s">
        <v>32</v>
      </c>
    </row>
    <row r="82" spans="1:12" x14ac:dyDescent="0.25">
      <c r="A82" s="5">
        <v>45372</v>
      </c>
      <c r="B82" s="6">
        <v>12</v>
      </c>
      <c r="C82" s="7">
        <f>VLOOKUP(B82,'Clasificador de productos'!$A$1:$C$282,3)</f>
        <v>18</v>
      </c>
      <c r="D82" s="8" t="str">
        <f>VLOOKUP(B82,'Clasificador de productos'!$A$1:$C$282,2)</f>
        <v>Pijama “Super Espacio”</v>
      </c>
      <c r="E82" s="8">
        <v>12</v>
      </c>
      <c r="F82" s="8">
        <v>58</v>
      </c>
      <c r="G82" s="8">
        <v>3.6</v>
      </c>
      <c r="H82" s="9" t="s">
        <v>36</v>
      </c>
      <c r="I82" s="8" t="s">
        <v>20</v>
      </c>
      <c r="J82" s="8" t="s">
        <v>18</v>
      </c>
      <c r="K82" s="8" t="s">
        <v>2</v>
      </c>
      <c r="L82" s="8" t="s">
        <v>15</v>
      </c>
    </row>
    <row r="83" spans="1:12" x14ac:dyDescent="0.25">
      <c r="A83" s="5">
        <v>45373</v>
      </c>
      <c r="B83" s="6">
        <v>12</v>
      </c>
      <c r="C83" s="7">
        <f>VLOOKUP(B83,'Clasificador de productos'!$A$1:$C$282,3)</f>
        <v>18</v>
      </c>
      <c r="D83" s="8" t="str">
        <f>VLOOKUP(B83,'Clasificador de productos'!$A$1:$C$282,2)</f>
        <v>Pijama “Super Espacio”</v>
      </c>
      <c r="E83" s="10">
        <v>6</v>
      </c>
      <c r="F83" s="8">
        <v>51</v>
      </c>
      <c r="G83" s="8">
        <v>4.5</v>
      </c>
      <c r="H83" s="9" t="s">
        <v>36</v>
      </c>
      <c r="I83" s="8" t="s">
        <v>23</v>
      </c>
      <c r="J83" s="8" t="s">
        <v>21</v>
      </c>
      <c r="K83" s="8" t="s">
        <v>1</v>
      </c>
      <c r="L83" s="8" t="s">
        <v>32</v>
      </c>
    </row>
    <row r="84" spans="1:12" x14ac:dyDescent="0.25">
      <c r="A84" s="5">
        <v>45374</v>
      </c>
      <c r="B84" s="6">
        <v>11</v>
      </c>
      <c r="C84" s="7">
        <f>VLOOKUP(B84,'Clasificador de productos'!$A$1:$C$282,3)</f>
        <v>20</v>
      </c>
      <c r="D84" s="8" t="str">
        <f>VLOOKUP(B84,'Clasificador de productos'!$A$1:$C$282,2)</f>
        <v>Pijama “Aventura Nocturna”</v>
      </c>
      <c r="E84" s="10">
        <v>14</v>
      </c>
      <c r="F84" s="8">
        <v>48</v>
      </c>
      <c r="G84" s="8">
        <v>4.9000000000000004</v>
      </c>
      <c r="H84" s="9" t="s">
        <v>36</v>
      </c>
      <c r="I84" s="8" t="s">
        <v>26</v>
      </c>
      <c r="J84" s="8" t="s">
        <v>24</v>
      </c>
      <c r="K84" s="8" t="s">
        <v>2</v>
      </c>
      <c r="L84" s="8" t="s">
        <v>15</v>
      </c>
    </row>
    <row r="85" spans="1:12" x14ac:dyDescent="0.25">
      <c r="A85" s="5">
        <v>45375</v>
      </c>
      <c r="B85" s="6">
        <v>14</v>
      </c>
      <c r="C85" s="7">
        <f>VLOOKUP(B85,'Clasificador de productos'!$A$1:$C$282,3)</f>
        <v>20</v>
      </c>
      <c r="D85" s="8" t="str">
        <f>VLOOKUP(B85,'Clasificador de productos'!$A$1:$C$282,2)</f>
        <v>Pijama “Arcoíris Mágico”</v>
      </c>
      <c r="E85" s="10">
        <v>6</v>
      </c>
      <c r="F85" s="8">
        <v>41</v>
      </c>
      <c r="G85" s="8">
        <v>3.8</v>
      </c>
      <c r="H85" s="9" t="s">
        <v>36</v>
      </c>
      <c r="I85" s="8" t="s">
        <v>12</v>
      </c>
      <c r="J85" s="8" t="s">
        <v>18</v>
      </c>
      <c r="K85" s="8" t="s">
        <v>1</v>
      </c>
      <c r="L85" s="8" t="s">
        <v>32</v>
      </c>
    </row>
    <row r="86" spans="1:12" x14ac:dyDescent="0.25">
      <c r="A86" s="5">
        <v>45376</v>
      </c>
      <c r="B86" s="6">
        <v>14</v>
      </c>
      <c r="C86" s="7">
        <f>VLOOKUP(B86,'Clasificador de productos'!$A$1:$C$282,3)</f>
        <v>20</v>
      </c>
      <c r="D86" s="8" t="str">
        <f>VLOOKUP(B86,'Clasificador de productos'!$A$1:$C$282,2)</f>
        <v>Pijama “Arcoíris Mágico”</v>
      </c>
      <c r="E86" s="10">
        <v>8</v>
      </c>
      <c r="F86" s="8">
        <v>42</v>
      </c>
      <c r="G86" s="8">
        <v>4.4000000000000004</v>
      </c>
      <c r="H86" s="9" t="s">
        <v>36</v>
      </c>
      <c r="I86" s="8" t="s">
        <v>14</v>
      </c>
      <c r="J86" s="8" t="s">
        <v>13</v>
      </c>
      <c r="K86" s="8" t="s">
        <v>2</v>
      </c>
      <c r="L86" s="8" t="s">
        <v>15</v>
      </c>
    </row>
    <row r="87" spans="1:12" x14ac:dyDescent="0.25">
      <c r="A87" s="5">
        <v>45377</v>
      </c>
      <c r="B87" s="6">
        <v>12</v>
      </c>
      <c r="C87" s="7">
        <f>VLOOKUP(B87,'Clasificador de productos'!$A$1:$C$282,3)</f>
        <v>18</v>
      </c>
      <c r="D87" s="8" t="str">
        <f>VLOOKUP(B87,'Clasificador de productos'!$A$1:$C$282,2)</f>
        <v>Pijama “Super Espacio”</v>
      </c>
      <c r="E87" s="10">
        <v>10</v>
      </c>
      <c r="F87" s="8">
        <v>58</v>
      </c>
      <c r="G87" s="8">
        <v>4.2</v>
      </c>
      <c r="H87" s="9" t="s">
        <v>36</v>
      </c>
      <c r="I87" s="8" t="s">
        <v>17</v>
      </c>
      <c r="J87" s="8" t="s">
        <v>35</v>
      </c>
      <c r="K87" s="8" t="s">
        <v>1</v>
      </c>
      <c r="L87" s="8" t="s">
        <v>32</v>
      </c>
    </row>
    <row r="88" spans="1:12" x14ac:dyDescent="0.25">
      <c r="A88" s="5">
        <v>45378</v>
      </c>
      <c r="B88" s="6">
        <v>14</v>
      </c>
      <c r="C88" s="7">
        <f>VLOOKUP(B88,'Clasificador de productos'!$A$1:$C$282,3)</f>
        <v>20</v>
      </c>
      <c r="D88" s="8" t="str">
        <f>VLOOKUP(B88,'Clasificador de productos'!$A$1:$C$282,2)</f>
        <v>Pijama “Arcoíris Mágico”</v>
      </c>
      <c r="E88" s="10">
        <v>6</v>
      </c>
      <c r="F88" s="8">
        <v>46</v>
      </c>
      <c r="G88" s="8">
        <v>4.2</v>
      </c>
      <c r="H88" s="9" t="s">
        <v>36</v>
      </c>
      <c r="I88" s="8" t="s">
        <v>20</v>
      </c>
      <c r="J88" s="8" t="s">
        <v>21</v>
      </c>
      <c r="K88" s="8" t="s">
        <v>1</v>
      </c>
      <c r="L88" s="8" t="s">
        <v>15</v>
      </c>
    </row>
    <row r="89" spans="1:12" x14ac:dyDescent="0.25">
      <c r="A89" s="5">
        <v>45379</v>
      </c>
      <c r="B89" s="6">
        <v>10</v>
      </c>
      <c r="C89" s="7">
        <f>VLOOKUP(B89,'Clasificador de productos'!$A$1:$C$282,3)</f>
        <v>15</v>
      </c>
      <c r="D89" s="8" t="str">
        <f>VLOOKUP(B89,'Clasificador de productos'!$A$1:$C$282,2)</f>
        <v>Pijama “Dinosaurio Feliz”</v>
      </c>
      <c r="E89" s="8">
        <v>8</v>
      </c>
      <c r="F89" s="8">
        <v>50</v>
      </c>
      <c r="G89" s="8">
        <v>4.2</v>
      </c>
      <c r="H89" s="9" t="s">
        <v>36</v>
      </c>
      <c r="I89" s="8" t="s">
        <v>17</v>
      </c>
      <c r="J89" s="8" t="s">
        <v>27</v>
      </c>
      <c r="K89" s="8" t="s">
        <v>1</v>
      </c>
      <c r="L89" s="8" t="s">
        <v>32</v>
      </c>
    </row>
    <row r="90" spans="1:12" x14ac:dyDescent="0.25">
      <c r="A90" s="5">
        <v>45380</v>
      </c>
      <c r="B90" s="6">
        <v>12</v>
      </c>
      <c r="C90" s="7">
        <f>VLOOKUP(B90,'Clasificador de productos'!$A$1:$C$282,3)</f>
        <v>18</v>
      </c>
      <c r="D90" s="8" t="str">
        <f>VLOOKUP(B90,'Clasificador de productos'!$A$1:$C$282,2)</f>
        <v>Pijama “Super Espacio”</v>
      </c>
      <c r="E90" s="10">
        <v>6</v>
      </c>
      <c r="F90" s="8">
        <v>60</v>
      </c>
      <c r="G90" s="8">
        <v>3.8</v>
      </c>
      <c r="H90" s="9" t="s">
        <v>36</v>
      </c>
      <c r="I90" s="8" t="s">
        <v>26</v>
      </c>
      <c r="J90" s="8" t="s">
        <v>18</v>
      </c>
      <c r="K90" s="8" t="s">
        <v>1</v>
      </c>
      <c r="L90" s="8" t="s">
        <v>15</v>
      </c>
    </row>
    <row r="91" spans="1:12" x14ac:dyDescent="0.25">
      <c r="A91" s="5">
        <v>45381</v>
      </c>
      <c r="B91" s="6">
        <v>11</v>
      </c>
      <c r="C91" s="7">
        <f>VLOOKUP(B91,'Clasificador de productos'!$A$1:$C$282,3)</f>
        <v>20</v>
      </c>
      <c r="D91" s="8" t="str">
        <f>VLOOKUP(B91,'Clasificador de productos'!$A$1:$C$282,2)</f>
        <v>Pijama “Aventura Nocturna”</v>
      </c>
      <c r="E91" s="8">
        <v>12</v>
      </c>
      <c r="F91" s="8">
        <v>55</v>
      </c>
      <c r="G91" s="8">
        <v>4.5</v>
      </c>
      <c r="H91" s="9" t="s">
        <v>36</v>
      </c>
      <c r="I91" s="8" t="s">
        <v>20</v>
      </c>
      <c r="J91" s="8" t="s">
        <v>27</v>
      </c>
      <c r="K91" s="8" t="s">
        <v>1</v>
      </c>
      <c r="L91" s="8" t="s">
        <v>32</v>
      </c>
    </row>
    <row r="92" spans="1:12" x14ac:dyDescent="0.25">
      <c r="A92" s="5">
        <v>45382</v>
      </c>
      <c r="B92" s="6">
        <v>12</v>
      </c>
      <c r="C92" s="7">
        <f>VLOOKUP(B92,'Clasificador de productos'!$A$1:$C$282,3)</f>
        <v>18</v>
      </c>
      <c r="D92" s="8" t="str">
        <f>VLOOKUP(B92,'Clasificador de productos'!$A$1:$C$282,2)</f>
        <v>Pijama “Super Espacio”</v>
      </c>
      <c r="E92" s="10">
        <v>4</v>
      </c>
      <c r="F92" s="8">
        <v>55</v>
      </c>
      <c r="G92" s="8">
        <v>4.8</v>
      </c>
      <c r="H92" s="9" t="s">
        <v>36</v>
      </c>
      <c r="I92" s="8" t="s">
        <v>23</v>
      </c>
      <c r="J92" s="8" t="s">
        <v>35</v>
      </c>
      <c r="K92" s="8" t="s">
        <v>2</v>
      </c>
      <c r="L92" s="8" t="s">
        <v>15</v>
      </c>
    </row>
    <row r="93" spans="1:12" x14ac:dyDescent="0.25">
      <c r="A93" s="5">
        <v>45383</v>
      </c>
      <c r="B93" s="6">
        <v>10</v>
      </c>
      <c r="C93" s="7">
        <f>VLOOKUP(B93,'Clasificador de productos'!$A$1:$C$282,3)</f>
        <v>15</v>
      </c>
      <c r="D93" s="8" t="str">
        <f>VLOOKUP(B93,'Clasificador de productos'!$A$1:$C$282,2)</f>
        <v>Pijama “Dinosaurio Feliz”</v>
      </c>
      <c r="E93" s="10">
        <v>14</v>
      </c>
      <c r="F93" s="8">
        <v>30</v>
      </c>
      <c r="G93" s="8">
        <v>4.4000000000000004</v>
      </c>
      <c r="H93" s="9" t="s">
        <v>36</v>
      </c>
      <c r="I93" s="8" t="s">
        <v>26</v>
      </c>
      <c r="J93" s="8" t="s">
        <v>18</v>
      </c>
      <c r="K93" s="8" t="s">
        <v>1</v>
      </c>
      <c r="L93" s="8" t="s">
        <v>32</v>
      </c>
    </row>
    <row r="94" spans="1:12" x14ac:dyDescent="0.25">
      <c r="A94" s="5">
        <v>45384</v>
      </c>
      <c r="B94" s="6">
        <v>13</v>
      </c>
      <c r="C94" s="7">
        <f>VLOOKUP(B94,'Clasificador de productos'!$A$1:$C$282,3)</f>
        <v>15</v>
      </c>
      <c r="D94" s="8" t="str">
        <f>VLOOKUP(B94,'Clasificador de productos'!$A$1:$C$282,2)</f>
        <v>Pijama “Ositos Dormilones”</v>
      </c>
      <c r="E94" s="8">
        <v>8</v>
      </c>
      <c r="F94" s="8">
        <v>37</v>
      </c>
      <c r="G94" s="8">
        <v>4.8</v>
      </c>
      <c r="H94" s="9" t="s">
        <v>36</v>
      </c>
      <c r="I94" s="8" t="s">
        <v>12</v>
      </c>
      <c r="J94" s="8" t="s">
        <v>27</v>
      </c>
      <c r="K94" s="8" t="s">
        <v>2</v>
      </c>
      <c r="L94" s="8" t="s">
        <v>15</v>
      </c>
    </row>
    <row r="95" spans="1:12" x14ac:dyDescent="0.25">
      <c r="A95" s="5">
        <v>45385</v>
      </c>
      <c r="B95" s="6">
        <v>12</v>
      </c>
      <c r="C95" s="7">
        <f>VLOOKUP(B95,'Clasificador de productos'!$A$1:$C$282,3)</f>
        <v>18</v>
      </c>
      <c r="D95" s="8" t="str">
        <f>VLOOKUP(B95,'Clasificador de productos'!$A$1:$C$282,2)</f>
        <v>Pijama “Super Espacio”</v>
      </c>
      <c r="E95" s="10">
        <v>12</v>
      </c>
      <c r="F95" s="8">
        <v>38</v>
      </c>
      <c r="G95" s="8">
        <v>3.6</v>
      </c>
      <c r="H95" s="9" t="s">
        <v>36</v>
      </c>
      <c r="I95" s="8" t="s">
        <v>14</v>
      </c>
      <c r="J95" s="8" t="s">
        <v>24</v>
      </c>
      <c r="K95" s="8" t="s">
        <v>1</v>
      </c>
      <c r="L95" s="8" t="s">
        <v>32</v>
      </c>
    </row>
    <row r="96" spans="1:12" x14ac:dyDescent="0.25">
      <c r="A96" s="5">
        <v>45386</v>
      </c>
      <c r="B96" s="6">
        <v>14</v>
      </c>
      <c r="C96" s="7">
        <f>VLOOKUP(B96,'Clasificador de productos'!$A$1:$C$282,3)</f>
        <v>20</v>
      </c>
      <c r="D96" s="8" t="str">
        <f>VLOOKUP(B96,'Clasificador de productos'!$A$1:$C$282,2)</f>
        <v>Pijama “Arcoíris Mágico”</v>
      </c>
      <c r="E96" s="10">
        <v>8</v>
      </c>
      <c r="F96" s="8">
        <v>33</v>
      </c>
      <c r="G96" s="8">
        <v>4.5</v>
      </c>
      <c r="H96" s="9" t="s">
        <v>36</v>
      </c>
      <c r="I96" s="8" t="s">
        <v>17</v>
      </c>
      <c r="J96" s="8" t="s">
        <v>18</v>
      </c>
      <c r="K96" s="8" t="s">
        <v>2</v>
      </c>
      <c r="L96" s="8" t="s">
        <v>15</v>
      </c>
    </row>
    <row r="97" spans="1:12" x14ac:dyDescent="0.25">
      <c r="A97" s="5">
        <v>45387</v>
      </c>
      <c r="B97" s="6">
        <v>11</v>
      </c>
      <c r="C97" s="7">
        <f>VLOOKUP(B97,'Clasificador de productos'!$A$1:$C$282,3)</f>
        <v>20</v>
      </c>
      <c r="D97" s="8" t="str">
        <f>VLOOKUP(B97,'Clasificador de productos'!$A$1:$C$282,2)</f>
        <v>Pijama “Aventura Nocturna”</v>
      </c>
      <c r="E97" s="10">
        <v>4</v>
      </c>
      <c r="F97" s="8">
        <v>28</v>
      </c>
      <c r="G97" s="8">
        <v>4.9000000000000004</v>
      </c>
      <c r="H97" s="9" t="s">
        <v>36</v>
      </c>
      <c r="I97" s="8" t="s">
        <v>20</v>
      </c>
      <c r="J97" s="8" t="s">
        <v>21</v>
      </c>
      <c r="K97" s="8" t="s">
        <v>1</v>
      </c>
      <c r="L97" s="8" t="s">
        <v>32</v>
      </c>
    </row>
    <row r="98" spans="1:12" x14ac:dyDescent="0.25">
      <c r="A98" s="5">
        <v>45388</v>
      </c>
      <c r="B98" s="6">
        <v>14</v>
      </c>
      <c r="C98" s="7">
        <f>VLOOKUP(B98,'Clasificador de productos'!$A$1:$C$282,3)</f>
        <v>20</v>
      </c>
      <c r="D98" s="8" t="str">
        <f>VLOOKUP(B98,'Clasificador de productos'!$A$1:$C$282,2)</f>
        <v>Pijama “Arcoíris Mágico”</v>
      </c>
      <c r="E98" s="10">
        <v>10</v>
      </c>
      <c r="F98" s="8">
        <v>26</v>
      </c>
      <c r="G98" s="8">
        <v>4.9000000000000004</v>
      </c>
      <c r="H98" s="9" t="s">
        <v>36</v>
      </c>
      <c r="I98" s="8" t="s">
        <v>17</v>
      </c>
      <c r="J98" s="8" t="s">
        <v>35</v>
      </c>
      <c r="K98" s="8" t="s">
        <v>2</v>
      </c>
      <c r="L98" s="8" t="s">
        <v>15</v>
      </c>
    </row>
    <row r="99" spans="1:12" x14ac:dyDescent="0.25">
      <c r="A99" s="5">
        <v>45389</v>
      </c>
      <c r="B99" s="6">
        <v>10</v>
      </c>
      <c r="C99" s="7">
        <f>VLOOKUP(B99,'Clasificador de productos'!$A$1:$C$282,3)</f>
        <v>15</v>
      </c>
      <c r="D99" s="8" t="str">
        <f>VLOOKUP(B99,'Clasificador de productos'!$A$1:$C$282,2)</f>
        <v>Pijama “Dinosaurio Feliz”</v>
      </c>
      <c r="E99" s="8">
        <v>12</v>
      </c>
      <c r="F99" s="8">
        <v>54</v>
      </c>
      <c r="G99" s="8">
        <v>3.8</v>
      </c>
      <c r="H99" s="9" t="s">
        <v>36</v>
      </c>
      <c r="I99" s="8" t="s">
        <v>12</v>
      </c>
      <c r="J99" s="8" t="s">
        <v>18</v>
      </c>
      <c r="K99" s="8" t="s">
        <v>1</v>
      </c>
      <c r="L99" s="8" t="s">
        <v>32</v>
      </c>
    </row>
    <row r="100" spans="1:12" x14ac:dyDescent="0.25">
      <c r="A100" s="5">
        <v>45390</v>
      </c>
      <c r="B100" s="6">
        <v>14</v>
      </c>
      <c r="C100" s="7">
        <f>VLOOKUP(B100,'Clasificador de productos'!$A$1:$C$282,3)</f>
        <v>20</v>
      </c>
      <c r="D100" s="8" t="str">
        <f>VLOOKUP(B100,'Clasificador de productos'!$A$1:$C$282,2)</f>
        <v>Pijama “Arcoíris Mágico”</v>
      </c>
      <c r="E100" s="10">
        <v>8</v>
      </c>
      <c r="F100" s="8">
        <v>25</v>
      </c>
      <c r="G100" s="8">
        <v>4.4000000000000004</v>
      </c>
      <c r="H100" s="9" t="s">
        <v>36</v>
      </c>
      <c r="I100" s="8" t="s">
        <v>14</v>
      </c>
      <c r="J100" s="8" t="s">
        <v>35</v>
      </c>
      <c r="K100" s="8" t="s">
        <v>2</v>
      </c>
      <c r="L100" s="8" t="s">
        <v>15</v>
      </c>
    </row>
    <row r="101" spans="1:12" x14ac:dyDescent="0.25">
      <c r="A101" s="5">
        <v>45391</v>
      </c>
      <c r="B101" s="6">
        <v>11</v>
      </c>
      <c r="C101" s="7">
        <f>VLOOKUP(B101,'Clasificador de productos'!$A$1:$C$282,3)</f>
        <v>20</v>
      </c>
      <c r="D101" s="8" t="str">
        <f>VLOOKUP(B101,'Clasificador de productos'!$A$1:$C$282,2)</f>
        <v>Pijama “Aventura Nocturna”</v>
      </c>
      <c r="E101" s="10">
        <v>6</v>
      </c>
      <c r="F101" s="8">
        <v>38</v>
      </c>
      <c r="G101" s="8">
        <v>4.2</v>
      </c>
      <c r="H101" s="9" t="s">
        <v>36</v>
      </c>
      <c r="I101" s="8" t="s">
        <v>17</v>
      </c>
      <c r="J101" s="8" t="s">
        <v>13</v>
      </c>
      <c r="K101" s="8" t="s">
        <v>1</v>
      </c>
      <c r="L101" s="8" t="s">
        <v>32</v>
      </c>
    </row>
    <row r="102" spans="1:12" x14ac:dyDescent="0.25">
      <c r="A102" s="5">
        <v>45392</v>
      </c>
      <c r="B102" s="6">
        <v>11</v>
      </c>
      <c r="C102" s="7">
        <f>VLOOKUP(B102,'Clasificador de productos'!$A$1:$C$282,3)</f>
        <v>20</v>
      </c>
      <c r="D102" s="8" t="str">
        <f>VLOOKUP(B102,'Clasificador de productos'!$A$1:$C$282,2)</f>
        <v>Pijama “Aventura Nocturna”</v>
      </c>
      <c r="E102" s="8">
        <v>12</v>
      </c>
      <c r="F102" s="8">
        <v>31</v>
      </c>
      <c r="G102" s="8">
        <v>4.5</v>
      </c>
      <c r="H102" s="9" t="s">
        <v>36</v>
      </c>
      <c r="I102" s="8" t="s">
        <v>20</v>
      </c>
      <c r="J102" s="8" t="s">
        <v>18</v>
      </c>
      <c r="K102" s="8" t="s">
        <v>2</v>
      </c>
      <c r="L102" s="8" t="s">
        <v>15</v>
      </c>
    </row>
    <row r="103" spans="1:12" x14ac:dyDescent="0.25">
      <c r="A103" s="5">
        <v>45393</v>
      </c>
      <c r="B103" s="6">
        <v>13</v>
      </c>
      <c r="C103" s="7">
        <f>VLOOKUP(B103,'Clasificador de productos'!$A$1:$C$282,3)</f>
        <v>15</v>
      </c>
      <c r="D103" s="8" t="str">
        <f>VLOOKUP(B103,'Clasificador de productos'!$A$1:$C$282,2)</f>
        <v>Pijama “Ositos Dormilones”</v>
      </c>
      <c r="E103" s="10">
        <v>4</v>
      </c>
      <c r="F103" s="8">
        <v>49</v>
      </c>
      <c r="G103" s="8">
        <v>4.8</v>
      </c>
      <c r="H103" s="9" t="s">
        <v>36</v>
      </c>
      <c r="I103" s="8" t="s">
        <v>23</v>
      </c>
      <c r="J103" s="8" t="s">
        <v>27</v>
      </c>
      <c r="K103" s="8" t="s">
        <v>1</v>
      </c>
      <c r="L103" s="8" t="s">
        <v>32</v>
      </c>
    </row>
    <row r="104" spans="1:12" x14ac:dyDescent="0.25">
      <c r="A104" s="5">
        <v>45394</v>
      </c>
      <c r="B104" s="6">
        <v>12</v>
      </c>
      <c r="C104" s="7">
        <f>VLOOKUP(B104,'Clasificador de productos'!$A$1:$C$282,3)</f>
        <v>18</v>
      </c>
      <c r="D104" s="8" t="str">
        <f>VLOOKUP(B104,'Clasificador de productos'!$A$1:$C$282,2)</f>
        <v>Pijama “Super Espacio”</v>
      </c>
      <c r="E104" s="10">
        <v>10</v>
      </c>
      <c r="F104" s="8">
        <v>32</v>
      </c>
      <c r="G104" s="8">
        <v>4.4000000000000004</v>
      </c>
      <c r="H104" s="9" t="s">
        <v>36</v>
      </c>
      <c r="I104" s="8" t="s">
        <v>26</v>
      </c>
      <c r="J104" s="8" t="s">
        <v>18</v>
      </c>
      <c r="K104" s="8" t="s">
        <v>2</v>
      </c>
      <c r="L104" s="8" t="s">
        <v>15</v>
      </c>
    </row>
    <row r="105" spans="1:12" x14ac:dyDescent="0.25">
      <c r="A105" s="5">
        <v>45395</v>
      </c>
      <c r="B105" s="6">
        <v>13</v>
      </c>
      <c r="C105" s="7">
        <f>VLOOKUP(B105,'Clasificador de productos'!$A$1:$C$282,3)</f>
        <v>15</v>
      </c>
      <c r="D105" s="8" t="str">
        <f>VLOOKUP(B105,'Clasificador de productos'!$A$1:$C$282,2)</f>
        <v>Pijama “Ositos Dormilones”</v>
      </c>
      <c r="E105" s="8">
        <v>12</v>
      </c>
      <c r="F105" s="8">
        <v>60</v>
      </c>
      <c r="G105" s="8">
        <v>4.8</v>
      </c>
      <c r="H105" s="9" t="s">
        <v>36</v>
      </c>
      <c r="I105" s="8" t="s">
        <v>12</v>
      </c>
      <c r="J105" s="8" t="s">
        <v>27</v>
      </c>
      <c r="K105" s="8" t="s">
        <v>2</v>
      </c>
      <c r="L105" s="8" t="s">
        <v>32</v>
      </c>
    </row>
    <row r="106" spans="1:12" x14ac:dyDescent="0.25">
      <c r="A106" s="5">
        <v>45396</v>
      </c>
      <c r="B106" s="6">
        <v>10</v>
      </c>
      <c r="C106" s="7">
        <f>VLOOKUP(B106,'Clasificador de productos'!$A$1:$C$282,3)</f>
        <v>15</v>
      </c>
      <c r="D106" s="8" t="str">
        <f>VLOOKUP(B106,'Clasificador de productos'!$A$1:$C$282,2)</f>
        <v>Pijama “Dinosaurio Feliz”</v>
      </c>
      <c r="E106" s="10">
        <v>6</v>
      </c>
      <c r="F106" s="8">
        <v>28</v>
      </c>
      <c r="G106" s="8">
        <v>3.6</v>
      </c>
      <c r="H106" s="9" t="s">
        <v>36</v>
      </c>
      <c r="I106" s="8" t="s">
        <v>14</v>
      </c>
      <c r="J106" s="8" t="s">
        <v>24</v>
      </c>
      <c r="K106" s="8" t="s">
        <v>2</v>
      </c>
      <c r="L106" s="8" t="s">
        <v>15</v>
      </c>
    </row>
    <row r="107" spans="1:12" x14ac:dyDescent="0.25">
      <c r="A107" s="5">
        <v>45397</v>
      </c>
      <c r="B107" s="6">
        <v>13</v>
      </c>
      <c r="C107" s="7">
        <f>VLOOKUP(B107,'Clasificador de productos'!$A$1:$C$282,3)</f>
        <v>15</v>
      </c>
      <c r="D107" s="8" t="str">
        <f>VLOOKUP(B107,'Clasificador de productos'!$A$1:$C$282,2)</f>
        <v>Pijama “Ositos Dormilones”</v>
      </c>
      <c r="E107" s="10">
        <v>8</v>
      </c>
      <c r="F107" s="8">
        <v>48</v>
      </c>
      <c r="G107" s="8">
        <v>4.5</v>
      </c>
      <c r="H107" s="9" t="s">
        <v>36</v>
      </c>
      <c r="I107" s="8" t="s">
        <v>17</v>
      </c>
      <c r="J107" s="8" t="s">
        <v>21</v>
      </c>
      <c r="K107" s="8" t="s">
        <v>1</v>
      </c>
      <c r="L107" s="8" t="s">
        <v>32</v>
      </c>
    </row>
    <row r="108" spans="1:12" x14ac:dyDescent="0.25">
      <c r="A108" s="5">
        <v>45398</v>
      </c>
      <c r="B108" s="6">
        <v>10</v>
      </c>
      <c r="C108" s="7">
        <f>VLOOKUP(B108,'Clasificador de productos'!$A$1:$C$282,3)</f>
        <v>15</v>
      </c>
      <c r="D108" s="8" t="str">
        <f>VLOOKUP(B108,'Clasificador de productos'!$A$1:$C$282,2)</f>
        <v>Pijama “Dinosaurio Feliz”</v>
      </c>
      <c r="E108" s="10">
        <v>4</v>
      </c>
      <c r="F108" s="8">
        <v>53</v>
      </c>
      <c r="G108" s="8">
        <v>4.9000000000000004</v>
      </c>
      <c r="H108" s="9" t="s">
        <v>36</v>
      </c>
      <c r="I108" s="8" t="s">
        <v>20</v>
      </c>
      <c r="J108" s="8" t="s">
        <v>18</v>
      </c>
      <c r="K108" s="8" t="s">
        <v>2</v>
      </c>
      <c r="L108" s="8" t="s">
        <v>15</v>
      </c>
    </row>
    <row r="109" spans="1:12" x14ac:dyDescent="0.25">
      <c r="A109" s="5">
        <v>45399</v>
      </c>
      <c r="B109" s="6">
        <v>10</v>
      </c>
      <c r="C109" s="7">
        <f>VLOOKUP(B109,'Clasificador de productos'!$A$1:$C$282,3)</f>
        <v>15</v>
      </c>
      <c r="D109" s="8" t="str">
        <f>VLOOKUP(B109,'Clasificador de productos'!$A$1:$C$282,2)</f>
        <v>Pijama “Dinosaurio Feliz”</v>
      </c>
      <c r="E109" s="8">
        <v>8</v>
      </c>
      <c r="F109" s="8">
        <v>40</v>
      </c>
      <c r="G109" s="8">
        <v>4.9000000000000004</v>
      </c>
      <c r="H109" s="9" t="s">
        <v>36</v>
      </c>
      <c r="I109" s="8" t="s">
        <v>17</v>
      </c>
      <c r="J109" s="8" t="s">
        <v>24</v>
      </c>
      <c r="K109" s="8" t="s">
        <v>2</v>
      </c>
      <c r="L109" s="8" t="s">
        <v>32</v>
      </c>
    </row>
    <row r="110" spans="1:12" x14ac:dyDescent="0.25">
      <c r="A110" s="5">
        <v>45400</v>
      </c>
      <c r="B110" s="6">
        <v>11</v>
      </c>
      <c r="C110" s="7">
        <f>VLOOKUP(B110,'Clasificador de productos'!$A$1:$C$282,3)</f>
        <v>20</v>
      </c>
      <c r="D110" s="8" t="str">
        <f>VLOOKUP(B110,'Clasificador de productos'!$A$1:$C$282,2)</f>
        <v>Pijama “Aventura Nocturna”</v>
      </c>
      <c r="E110" s="10">
        <v>10</v>
      </c>
      <c r="F110" s="8">
        <v>58</v>
      </c>
      <c r="G110" s="8">
        <v>3.8</v>
      </c>
      <c r="H110" s="9" t="s">
        <v>36</v>
      </c>
      <c r="I110" s="8" t="s">
        <v>20</v>
      </c>
      <c r="J110" s="8" t="s">
        <v>24</v>
      </c>
      <c r="K110" s="8" t="s">
        <v>2</v>
      </c>
      <c r="L110" s="8" t="s">
        <v>15</v>
      </c>
    </row>
    <row r="111" spans="1:12" x14ac:dyDescent="0.25">
      <c r="A111" s="5">
        <v>45401</v>
      </c>
      <c r="B111" s="6">
        <v>10</v>
      </c>
      <c r="C111" s="7">
        <f>VLOOKUP(B111,'Clasificador de productos'!$A$1:$C$282,3)</f>
        <v>15</v>
      </c>
      <c r="D111" s="8" t="str">
        <f>VLOOKUP(B111,'Clasificador de productos'!$A$1:$C$282,2)</f>
        <v>Pijama “Dinosaurio Feliz”</v>
      </c>
      <c r="E111" s="10">
        <v>14</v>
      </c>
      <c r="F111" s="8">
        <v>44</v>
      </c>
      <c r="G111" s="8">
        <v>4.4000000000000004</v>
      </c>
      <c r="H111" s="9" t="s">
        <v>36</v>
      </c>
      <c r="I111" s="8" t="s">
        <v>23</v>
      </c>
      <c r="J111" s="8" t="s">
        <v>18</v>
      </c>
      <c r="K111" s="8" t="s">
        <v>2</v>
      </c>
      <c r="L111" s="8" t="s">
        <v>32</v>
      </c>
    </row>
    <row r="112" spans="1:12" x14ac:dyDescent="0.25">
      <c r="A112" s="5">
        <v>45402</v>
      </c>
      <c r="B112" s="6">
        <v>14</v>
      </c>
      <c r="C112" s="7">
        <f>VLOOKUP(B112,'Clasificador de productos'!$A$1:$C$282,3)</f>
        <v>20</v>
      </c>
      <c r="D112" s="8" t="str">
        <f>VLOOKUP(B112,'Clasificador de productos'!$A$1:$C$282,2)</f>
        <v>Pijama “Arcoíris Mágico”</v>
      </c>
      <c r="E112" s="10">
        <v>4</v>
      </c>
      <c r="F112" s="8">
        <v>33</v>
      </c>
      <c r="G112" s="8">
        <v>4.2</v>
      </c>
      <c r="H112" s="9" t="s">
        <v>36</v>
      </c>
      <c r="I112" s="8" t="s">
        <v>12</v>
      </c>
      <c r="J112" s="8" t="s">
        <v>27</v>
      </c>
      <c r="K112" s="8" t="s">
        <v>1</v>
      </c>
      <c r="L112" s="8" t="s">
        <v>15</v>
      </c>
    </row>
    <row r="113" spans="1:12" x14ac:dyDescent="0.25">
      <c r="A113" s="5">
        <v>45403</v>
      </c>
      <c r="B113" s="6">
        <v>11</v>
      </c>
      <c r="C113" s="7">
        <f>VLOOKUP(B113,'Clasificador de productos'!$A$1:$C$282,3)</f>
        <v>20</v>
      </c>
      <c r="D113" s="8" t="str">
        <f>VLOOKUP(B113,'Clasificador de productos'!$A$1:$C$282,2)</f>
        <v>Pijama “Aventura Nocturna”</v>
      </c>
      <c r="E113" s="10">
        <v>6</v>
      </c>
      <c r="F113" s="8">
        <v>46</v>
      </c>
      <c r="G113" s="8">
        <v>4.5</v>
      </c>
      <c r="H113" s="9" t="s">
        <v>36</v>
      </c>
      <c r="I113" s="8" t="s">
        <v>14</v>
      </c>
      <c r="J113" s="8" t="s">
        <v>21</v>
      </c>
      <c r="K113" s="8" t="s">
        <v>2</v>
      </c>
      <c r="L113" s="8" t="s">
        <v>32</v>
      </c>
    </row>
    <row r="114" spans="1:12" x14ac:dyDescent="0.25">
      <c r="A114" s="5">
        <v>45404</v>
      </c>
      <c r="B114" s="6">
        <v>12</v>
      </c>
      <c r="C114" s="7">
        <f>VLOOKUP(B114,'Clasificador de productos'!$A$1:$C$282,3)</f>
        <v>18</v>
      </c>
      <c r="D114" s="8" t="str">
        <f>VLOOKUP(B114,'Clasificador de productos'!$A$1:$C$282,2)</f>
        <v>Pijama “Super Espacio”</v>
      </c>
      <c r="E114" s="10">
        <v>8</v>
      </c>
      <c r="F114" s="8">
        <v>35</v>
      </c>
      <c r="G114" s="8">
        <v>4.8</v>
      </c>
      <c r="H114" s="9" t="s">
        <v>36</v>
      </c>
      <c r="I114" s="8" t="s">
        <v>17</v>
      </c>
      <c r="J114" s="8" t="s">
        <v>18</v>
      </c>
      <c r="K114" s="8" t="s">
        <v>1</v>
      </c>
      <c r="L114" s="8" t="s">
        <v>15</v>
      </c>
    </row>
    <row r="115" spans="1:12" x14ac:dyDescent="0.25">
      <c r="A115" s="5">
        <v>45405</v>
      </c>
      <c r="B115" s="6">
        <v>14</v>
      </c>
      <c r="C115" s="7">
        <f>VLOOKUP(B115,'Clasificador de productos'!$A$1:$C$282,3)</f>
        <v>20</v>
      </c>
      <c r="D115" s="8" t="str">
        <f>VLOOKUP(B115,'Clasificador de productos'!$A$1:$C$282,2)</f>
        <v>Pijama “Arcoíris Mágico”</v>
      </c>
      <c r="E115" s="10">
        <v>6</v>
      </c>
      <c r="F115" s="8">
        <v>47</v>
      </c>
      <c r="G115" s="8">
        <v>4.4000000000000004</v>
      </c>
      <c r="H115" s="9" t="s">
        <v>36</v>
      </c>
      <c r="I115" s="8" t="s">
        <v>20</v>
      </c>
      <c r="J115" s="8" t="s">
        <v>24</v>
      </c>
      <c r="K115" s="8" t="s">
        <v>2</v>
      </c>
      <c r="L115" s="8" t="s">
        <v>32</v>
      </c>
    </row>
    <row r="116" spans="1:12" x14ac:dyDescent="0.25">
      <c r="A116" s="5">
        <v>45406</v>
      </c>
      <c r="B116" s="6">
        <v>13</v>
      </c>
      <c r="C116" s="7">
        <f>VLOOKUP(B116,'Clasificador de productos'!$A$1:$C$282,3)</f>
        <v>15</v>
      </c>
      <c r="D116" s="8" t="str">
        <f>VLOOKUP(B116,'Clasificador de productos'!$A$1:$C$282,2)</f>
        <v>Pijama “Ositos Dormilones”</v>
      </c>
      <c r="E116" s="8">
        <v>12</v>
      </c>
      <c r="F116" s="8">
        <v>33</v>
      </c>
      <c r="G116" s="8">
        <v>4.8</v>
      </c>
      <c r="H116" s="9" t="s">
        <v>36</v>
      </c>
      <c r="I116" s="8" t="s">
        <v>17</v>
      </c>
      <c r="J116" s="8" t="s">
        <v>35</v>
      </c>
      <c r="K116" s="8" t="s">
        <v>1</v>
      </c>
      <c r="L116" s="8" t="s">
        <v>15</v>
      </c>
    </row>
    <row r="117" spans="1:12" x14ac:dyDescent="0.25">
      <c r="A117" s="5">
        <v>45407</v>
      </c>
      <c r="B117" s="6">
        <v>14</v>
      </c>
      <c r="C117" s="7">
        <f>VLOOKUP(B117,'Clasificador de productos'!$A$1:$C$282,3)</f>
        <v>20</v>
      </c>
      <c r="D117" s="8" t="str">
        <f>VLOOKUP(B117,'Clasificador de productos'!$A$1:$C$282,2)</f>
        <v>Pijama “Arcoíris Mágico”</v>
      </c>
      <c r="E117" s="10">
        <v>14</v>
      </c>
      <c r="F117" s="8">
        <v>43</v>
      </c>
      <c r="G117" s="8">
        <v>4.5</v>
      </c>
      <c r="H117" s="9" t="s">
        <v>36</v>
      </c>
      <c r="I117" s="8" t="s">
        <v>12</v>
      </c>
      <c r="J117" s="8" t="s">
        <v>21</v>
      </c>
      <c r="K117" s="8" t="s">
        <v>2</v>
      </c>
      <c r="L117" s="8" t="s">
        <v>32</v>
      </c>
    </row>
    <row r="118" spans="1:12" x14ac:dyDescent="0.25">
      <c r="A118" s="5">
        <v>45408</v>
      </c>
      <c r="B118" s="6">
        <v>13</v>
      </c>
      <c r="C118" s="7">
        <f>VLOOKUP(B118,'Clasificador de productos'!$A$1:$C$282,3)</f>
        <v>15</v>
      </c>
      <c r="D118" s="8" t="str">
        <f>VLOOKUP(B118,'Clasificador de productos'!$A$1:$C$282,2)</f>
        <v>Pijama “Ositos Dormilones”</v>
      </c>
      <c r="E118" s="8">
        <v>8</v>
      </c>
      <c r="F118" s="8">
        <v>42</v>
      </c>
      <c r="G118" s="8">
        <v>4.9000000000000004</v>
      </c>
      <c r="H118" s="9" t="s">
        <v>36</v>
      </c>
      <c r="I118" s="8" t="s">
        <v>14</v>
      </c>
      <c r="J118" s="8" t="s">
        <v>27</v>
      </c>
      <c r="K118" s="8" t="s">
        <v>1</v>
      </c>
      <c r="L118" s="8" t="s">
        <v>15</v>
      </c>
    </row>
    <row r="119" spans="1:12" x14ac:dyDescent="0.25">
      <c r="A119" s="5">
        <v>45409</v>
      </c>
      <c r="B119" s="6">
        <v>10</v>
      </c>
      <c r="C119" s="7">
        <f>VLOOKUP(B119,'Clasificador de productos'!$A$1:$C$282,3)</f>
        <v>15</v>
      </c>
      <c r="D119" s="8" t="str">
        <f>VLOOKUP(B119,'Clasificador de productos'!$A$1:$C$282,2)</f>
        <v>Pijama “Dinosaurio Feliz”</v>
      </c>
      <c r="E119" s="10">
        <v>4</v>
      </c>
      <c r="F119" s="8">
        <v>39</v>
      </c>
      <c r="G119" s="8">
        <v>4.9000000000000004</v>
      </c>
      <c r="H119" s="9" t="s">
        <v>36</v>
      </c>
      <c r="I119" s="8" t="s">
        <v>17</v>
      </c>
      <c r="J119" s="8" t="s">
        <v>13</v>
      </c>
      <c r="K119" s="8" t="s">
        <v>2</v>
      </c>
      <c r="L119" s="8" t="s">
        <v>32</v>
      </c>
    </row>
    <row r="120" spans="1:12" x14ac:dyDescent="0.25">
      <c r="A120" s="5">
        <v>45410</v>
      </c>
      <c r="B120" s="6">
        <v>12</v>
      </c>
      <c r="C120" s="7">
        <f>VLOOKUP(B120,'Clasificador de productos'!$A$1:$C$282,3)</f>
        <v>18</v>
      </c>
      <c r="D120" s="8" t="str">
        <f>VLOOKUP(B120,'Clasificador de productos'!$A$1:$C$282,2)</f>
        <v>Pijama “Super Espacio”</v>
      </c>
      <c r="E120" s="10">
        <v>6</v>
      </c>
      <c r="F120" s="8">
        <v>31</v>
      </c>
      <c r="G120" s="8">
        <v>4.4000000000000004</v>
      </c>
      <c r="H120" s="9" t="s">
        <v>36</v>
      </c>
      <c r="I120" s="8" t="s">
        <v>20</v>
      </c>
      <c r="J120" s="8" t="s">
        <v>18</v>
      </c>
      <c r="K120" s="8" t="s">
        <v>1</v>
      </c>
      <c r="L120" s="8" t="s">
        <v>15</v>
      </c>
    </row>
    <row r="121" spans="1:12" x14ac:dyDescent="0.25">
      <c r="A121" s="5">
        <v>45411</v>
      </c>
      <c r="B121" s="6">
        <v>12</v>
      </c>
      <c r="C121" s="7">
        <f>VLOOKUP(B121,'Clasificador de productos'!$A$1:$C$282,3)</f>
        <v>18</v>
      </c>
      <c r="D121" s="8" t="str">
        <f>VLOOKUP(B121,'Clasificador de productos'!$A$1:$C$282,2)</f>
        <v>Pijama “Super Espacio”</v>
      </c>
      <c r="E121" s="10">
        <v>14</v>
      </c>
      <c r="F121" s="8">
        <v>57</v>
      </c>
      <c r="G121" s="8">
        <v>4.2</v>
      </c>
      <c r="H121" s="9" t="s">
        <v>36</v>
      </c>
      <c r="I121" s="8" t="s">
        <v>23</v>
      </c>
      <c r="J121" s="8" t="s">
        <v>13</v>
      </c>
      <c r="K121" s="8" t="s">
        <v>2</v>
      </c>
      <c r="L121" s="8" t="s">
        <v>32</v>
      </c>
    </row>
    <row r="122" spans="1:12" x14ac:dyDescent="0.25">
      <c r="A122" s="5">
        <v>45412</v>
      </c>
      <c r="B122" s="6">
        <v>10</v>
      </c>
      <c r="C122" s="7">
        <f>VLOOKUP(B122,'Clasificador de productos'!$A$1:$C$282,3)</f>
        <v>15</v>
      </c>
      <c r="D122" s="8" t="str">
        <f>VLOOKUP(B122,'Clasificador de productos'!$A$1:$C$282,2)</f>
        <v>Pijama “Dinosaurio Feliz”</v>
      </c>
      <c r="E122" s="10">
        <v>10</v>
      </c>
      <c r="F122" s="8">
        <v>38</v>
      </c>
      <c r="G122" s="8">
        <v>4.5</v>
      </c>
      <c r="H122" s="9" t="s">
        <v>36</v>
      </c>
      <c r="I122" s="8" t="s">
        <v>26</v>
      </c>
      <c r="J122" s="8" t="s">
        <v>24</v>
      </c>
      <c r="K122" s="8" t="s">
        <v>1</v>
      </c>
      <c r="L122" s="8" t="s">
        <v>15</v>
      </c>
    </row>
    <row r="123" spans="1:12" x14ac:dyDescent="0.25">
      <c r="A123" s="5">
        <v>45413</v>
      </c>
      <c r="B123" s="6">
        <v>10</v>
      </c>
      <c r="C123" s="7">
        <f>VLOOKUP(B123,'Clasificador de productos'!$A$1:$C$282,3)</f>
        <v>15</v>
      </c>
      <c r="D123" s="8" t="str">
        <f>VLOOKUP(B123,'Clasificador de productos'!$A$1:$C$282,2)</f>
        <v>Pijama “Dinosaurio Feliz”</v>
      </c>
      <c r="E123" s="10">
        <v>4</v>
      </c>
      <c r="F123" s="8">
        <v>35</v>
      </c>
      <c r="G123" s="8">
        <v>4.8</v>
      </c>
      <c r="H123" s="9" t="s">
        <v>36</v>
      </c>
      <c r="I123" s="8" t="s">
        <v>12</v>
      </c>
      <c r="J123" s="8" t="s">
        <v>21</v>
      </c>
      <c r="K123" s="8" t="s">
        <v>2</v>
      </c>
      <c r="L123" s="8" t="s">
        <v>32</v>
      </c>
    </row>
    <row r="124" spans="1:12" x14ac:dyDescent="0.25">
      <c r="A124" s="5">
        <v>45414</v>
      </c>
      <c r="B124" s="6">
        <v>14</v>
      </c>
      <c r="C124" s="7">
        <f>VLOOKUP(B124,'Clasificador de productos'!$A$1:$C$282,3)</f>
        <v>20</v>
      </c>
      <c r="D124" s="8" t="str">
        <f>VLOOKUP(B124,'Clasificador de productos'!$A$1:$C$282,2)</f>
        <v>Pijama “Arcoíris Mágico”</v>
      </c>
      <c r="E124" s="10">
        <v>6</v>
      </c>
      <c r="F124" s="8">
        <v>56</v>
      </c>
      <c r="G124" s="8">
        <v>4.4000000000000004</v>
      </c>
      <c r="H124" s="9" t="s">
        <v>36</v>
      </c>
      <c r="I124" s="8" t="s">
        <v>14</v>
      </c>
      <c r="J124" s="8" t="s">
        <v>18</v>
      </c>
      <c r="K124" s="8" t="s">
        <v>1</v>
      </c>
      <c r="L124" s="8" t="s">
        <v>15</v>
      </c>
    </row>
    <row r="125" spans="1:12" x14ac:dyDescent="0.25">
      <c r="A125" s="5">
        <v>45415</v>
      </c>
      <c r="B125" s="6">
        <v>14</v>
      </c>
      <c r="C125" s="7">
        <f>VLOOKUP(B125,'Clasificador de productos'!$A$1:$C$282,3)</f>
        <v>20</v>
      </c>
      <c r="D125" s="8" t="str">
        <f>VLOOKUP(B125,'Clasificador de productos'!$A$1:$C$282,2)</f>
        <v>Pijama “Arcoíris Mágico”</v>
      </c>
      <c r="E125" s="8">
        <v>8</v>
      </c>
      <c r="F125" s="8">
        <v>58</v>
      </c>
      <c r="G125" s="8">
        <v>4.8</v>
      </c>
      <c r="H125" s="9" t="s">
        <v>36</v>
      </c>
      <c r="I125" s="8" t="s">
        <v>17</v>
      </c>
      <c r="J125" s="8" t="s">
        <v>35</v>
      </c>
      <c r="K125" s="8" t="s">
        <v>2</v>
      </c>
      <c r="L125" s="8" t="s">
        <v>15</v>
      </c>
    </row>
    <row r="126" spans="1:12" ht="22.5" customHeight="1" x14ac:dyDescent="0.25">
      <c r="A126" s="13" t="s">
        <v>37</v>
      </c>
      <c r="C126" s="14">
        <f>SUBTOTAL(9,C2:C125)</f>
        <v>2192</v>
      </c>
      <c r="F126" s="15">
        <f>SUBTOTAL(9,F2:F125)</f>
        <v>5247</v>
      </c>
      <c r="G126" s="3"/>
    </row>
    <row r="127" spans="1:12" x14ac:dyDescent="0.25">
      <c r="E127" s="3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A2F3-7DE9-4437-95A6-70EAD1EA853A}">
  <dimension ref="A1:H6"/>
  <sheetViews>
    <sheetView workbookViewId="0">
      <selection activeCell="B6" sqref="B6"/>
    </sheetView>
  </sheetViews>
  <sheetFormatPr baseColWidth="10" defaultRowHeight="15" x14ac:dyDescent="0.25"/>
  <cols>
    <col min="1" max="1" width="16.7109375" customWidth="1"/>
    <col min="2" max="2" width="31.85546875" customWidth="1"/>
    <col min="4" max="4" width="25.7109375" customWidth="1"/>
    <col min="5" max="5" width="14.28515625" customWidth="1"/>
    <col min="7" max="7" width="16.42578125" customWidth="1"/>
    <col min="8" max="8" width="20.5703125" customWidth="1"/>
  </cols>
  <sheetData>
    <row r="1" spans="1:8" ht="30" x14ac:dyDescent="0.25">
      <c r="A1" t="s">
        <v>31</v>
      </c>
      <c r="B1" t="s">
        <v>29</v>
      </c>
      <c r="C1" t="s">
        <v>28</v>
      </c>
      <c r="D1" s="1" t="s">
        <v>7</v>
      </c>
      <c r="E1" s="1" t="s">
        <v>0</v>
      </c>
      <c r="F1" s="1" t="s">
        <v>8</v>
      </c>
      <c r="G1" s="1" t="s">
        <v>9</v>
      </c>
      <c r="H1" s="1" t="s">
        <v>10</v>
      </c>
    </row>
    <row r="2" spans="1:8" x14ac:dyDescent="0.25">
      <c r="A2">
        <v>10</v>
      </c>
      <c r="B2" s="3" t="s">
        <v>11</v>
      </c>
      <c r="C2">
        <v>15</v>
      </c>
      <c r="E2" t="s">
        <v>33</v>
      </c>
    </row>
    <row r="3" spans="1:8" x14ac:dyDescent="0.25">
      <c r="A3">
        <v>11</v>
      </c>
      <c r="B3" s="3" t="s">
        <v>25</v>
      </c>
      <c r="C3">
        <v>20</v>
      </c>
      <c r="E3" t="s">
        <v>34</v>
      </c>
    </row>
    <row r="4" spans="1:8" x14ac:dyDescent="0.25">
      <c r="A4">
        <v>12</v>
      </c>
      <c r="B4" s="3" t="s">
        <v>16</v>
      </c>
      <c r="C4">
        <v>18</v>
      </c>
    </row>
    <row r="5" spans="1:8" x14ac:dyDescent="0.25">
      <c r="A5">
        <v>13</v>
      </c>
      <c r="B5" s="3" t="s">
        <v>19</v>
      </c>
      <c r="C5">
        <v>15</v>
      </c>
    </row>
    <row r="6" spans="1:8" x14ac:dyDescent="0.25">
      <c r="A6">
        <v>14</v>
      </c>
      <c r="B6" s="3" t="s">
        <v>22</v>
      </c>
      <c r="C6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718F-59F1-4633-8C84-DB542409E600}">
  <dimension ref="A1:M125"/>
  <sheetViews>
    <sheetView zoomScale="106" zoomScaleNormal="106" workbookViewId="0">
      <selection activeCell="A26" sqref="A26"/>
    </sheetView>
  </sheetViews>
  <sheetFormatPr baseColWidth="10" defaultRowHeight="15" x14ac:dyDescent="0.25"/>
  <cols>
    <col min="2" max="3" width="16.42578125" customWidth="1"/>
    <col min="6" max="6" width="11.85546875" bestFit="1" customWidth="1"/>
    <col min="7" max="9" width="5.7109375" customWidth="1"/>
    <col min="10" max="10" width="9" customWidth="1"/>
  </cols>
  <sheetData>
    <row r="1" spans="1:13" ht="27" customHeight="1" x14ac:dyDescent="0.25">
      <c r="A1" s="11" t="s">
        <v>45</v>
      </c>
      <c r="B1" s="11" t="s">
        <v>6</v>
      </c>
      <c r="C1" s="11" t="s">
        <v>46</v>
      </c>
      <c r="E1" s="20" t="s">
        <v>47</v>
      </c>
      <c r="F1" s="20" t="s">
        <v>48</v>
      </c>
      <c r="G1" s="20" t="s">
        <v>49</v>
      </c>
      <c r="H1" s="20" t="s">
        <v>50</v>
      </c>
      <c r="I1" s="20" t="s">
        <v>63</v>
      </c>
      <c r="J1" s="20" t="s">
        <v>51</v>
      </c>
      <c r="L1" s="17" t="s">
        <v>57</v>
      </c>
      <c r="M1" s="18">
        <f>MAX(B:B)</f>
        <v>60</v>
      </c>
    </row>
    <row r="2" spans="1:13" x14ac:dyDescent="0.25">
      <c r="A2" s="8">
        <v>1</v>
      </c>
      <c r="B2" s="8">
        <v>25</v>
      </c>
      <c r="C2" s="8">
        <f>_xlfn.IFS(B2&lt;=$H$2,1,B2&lt;=$H$3,2,B2&lt;=$H$4,3,B2&lt;=$H$5,4,B2&lt;=$H$6,5)</f>
        <v>1</v>
      </c>
      <c r="E2">
        <v>1</v>
      </c>
      <c r="F2" t="s">
        <v>52</v>
      </c>
      <c r="G2">
        <f>M2</f>
        <v>25</v>
      </c>
      <c r="H2">
        <f>G2+$M$6</f>
        <v>32</v>
      </c>
      <c r="I2">
        <f>COUNTIF(C:C,E2)</f>
        <v>29</v>
      </c>
      <c r="J2" s="21">
        <f>I2/$I$7*100</f>
        <v>23.387096774193548</v>
      </c>
      <c r="L2" s="16" t="s">
        <v>58</v>
      </c>
      <c r="M2" s="18">
        <f>MIN(B:B)</f>
        <v>25</v>
      </c>
    </row>
    <row r="3" spans="1:13" x14ac:dyDescent="0.25">
      <c r="A3" s="8">
        <v>2</v>
      </c>
      <c r="B3" s="8">
        <v>25</v>
      </c>
      <c r="C3" s="8">
        <f t="shared" ref="C3:C66" si="0">_xlfn.IFS(B3&lt;=$H$2,1,B3&lt;=$H$3,2,B3&lt;=$H$4,3,B3&lt;=$H$5,4,B3&lt;=$H$6,5)</f>
        <v>1</v>
      </c>
      <c r="E3">
        <v>2</v>
      </c>
      <c r="F3" t="s">
        <v>53</v>
      </c>
      <c r="G3">
        <f>H2</f>
        <v>32</v>
      </c>
      <c r="H3">
        <f>G3+$M$6</f>
        <v>39</v>
      </c>
      <c r="I3">
        <f t="shared" ref="I3:I6" si="1">COUNTIF(C:C,E3)</f>
        <v>19</v>
      </c>
      <c r="J3" s="21">
        <f t="shared" ref="J3:J6" si="2">I3/$I$7*100</f>
        <v>15.32258064516129</v>
      </c>
    </row>
    <row r="4" spans="1:13" x14ac:dyDescent="0.25">
      <c r="A4" s="8">
        <v>3</v>
      </c>
      <c r="B4" s="8">
        <v>25</v>
      </c>
      <c r="C4" s="8">
        <f t="shared" si="0"/>
        <v>1</v>
      </c>
      <c r="E4">
        <v>3</v>
      </c>
      <c r="F4" t="s">
        <v>54</v>
      </c>
      <c r="G4">
        <f t="shared" ref="G4:G6" si="3">H3</f>
        <v>39</v>
      </c>
      <c r="H4">
        <f>G4+$M$6</f>
        <v>46</v>
      </c>
      <c r="I4">
        <f t="shared" si="1"/>
        <v>30</v>
      </c>
      <c r="J4" s="21">
        <f t="shared" si="2"/>
        <v>24.193548387096776</v>
      </c>
      <c r="L4" s="17" t="s">
        <v>59</v>
      </c>
      <c r="M4" s="18">
        <f>M1-M2</f>
        <v>35</v>
      </c>
    </row>
    <row r="5" spans="1:13" x14ac:dyDescent="0.25">
      <c r="A5" s="8">
        <v>4</v>
      </c>
      <c r="B5" s="8">
        <v>25</v>
      </c>
      <c r="C5" s="8">
        <f t="shared" si="0"/>
        <v>1</v>
      </c>
      <c r="E5">
        <v>4</v>
      </c>
      <c r="F5" t="s">
        <v>55</v>
      </c>
      <c r="G5">
        <f t="shared" si="3"/>
        <v>46</v>
      </c>
      <c r="H5">
        <f>G5+$M$6</f>
        <v>53</v>
      </c>
      <c r="I5">
        <f t="shared" si="1"/>
        <v>22</v>
      </c>
      <c r="J5" s="21">
        <f t="shared" si="2"/>
        <v>17.741935483870968</v>
      </c>
      <c r="L5" s="17" t="s">
        <v>60</v>
      </c>
      <c r="M5" s="18">
        <v>5</v>
      </c>
    </row>
    <row r="6" spans="1:13" x14ac:dyDescent="0.25">
      <c r="A6" s="8">
        <v>5</v>
      </c>
      <c r="B6" s="8">
        <v>26</v>
      </c>
      <c r="C6" s="8">
        <f t="shared" si="0"/>
        <v>1</v>
      </c>
      <c r="E6">
        <v>5</v>
      </c>
      <c r="F6" t="s">
        <v>56</v>
      </c>
      <c r="G6">
        <f t="shared" si="3"/>
        <v>53</v>
      </c>
      <c r="H6">
        <f>G6+$M$6</f>
        <v>60</v>
      </c>
      <c r="I6">
        <f t="shared" si="1"/>
        <v>24</v>
      </c>
      <c r="J6" s="21">
        <f t="shared" si="2"/>
        <v>19.35483870967742</v>
      </c>
      <c r="L6" s="17" t="s">
        <v>61</v>
      </c>
      <c r="M6" s="18">
        <f>M4/M5</f>
        <v>7</v>
      </c>
    </row>
    <row r="7" spans="1:13" x14ac:dyDescent="0.25">
      <c r="A7" s="8">
        <v>6</v>
      </c>
      <c r="B7" s="8">
        <v>26</v>
      </c>
      <c r="C7" s="8">
        <f t="shared" si="0"/>
        <v>1</v>
      </c>
      <c r="E7" s="24" t="s">
        <v>62</v>
      </c>
      <c r="F7" s="24"/>
      <c r="G7" s="19"/>
      <c r="H7" s="19"/>
      <c r="I7" s="19">
        <f>SUM(I2:I6)</f>
        <v>124</v>
      </c>
      <c r="J7" s="19"/>
    </row>
    <row r="8" spans="1:13" x14ac:dyDescent="0.25">
      <c r="A8" s="8">
        <v>7</v>
      </c>
      <c r="B8" s="8">
        <v>26</v>
      </c>
      <c r="C8" s="8">
        <f t="shared" si="0"/>
        <v>1</v>
      </c>
    </row>
    <row r="9" spans="1:13" x14ac:dyDescent="0.25">
      <c r="A9" s="8">
        <v>8</v>
      </c>
      <c r="B9" s="8">
        <v>26</v>
      </c>
      <c r="C9" s="8">
        <f t="shared" si="0"/>
        <v>1</v>
      </c>
      <c r="E9" s="22" t="s">
        <v>64</v>
      </c>
      <c r="F9" t="str">
        <f>IF(I7=COUNT(C:C),"OK","ERROR")</f>
        <v>OK</v>
      </c>
    </row>
    <row r="10" spans="1:13" x14ac:dyDescent="0.25">
      <c r="A10" s="8">
        <v>9</v>
      </c>
      <c r="B10" s="8">
        <v>26</v>
      </c>
      <c r="C10" s="8">
        <f t="shared" si="0"/>
        <v>1</v>
      </c>
    </row>
    <row r="11" spans="1:13" x14ac:dyDescent="0.25">
      <c r="A11" s="8">
        <v>10</v>
      </c>
      <c r="B11" s="8">
        <v>26</v>
      </c>
      <c r="C11" s="8">
        <f t="shared" si="0"/>
        <v>1</v>
      </c>
    </row>
    <row r="12" spans="1:13" x14ac:dyDescent="0.25">
      <c r="A12" s="8">
        <v>11</v>
      </c>
      <c r="B12" s="8">
        <v>26</v>
      </c>
      <c r="C12" s="8">
        <f t="shared" si="0"/>
        <v>1</v>
      </c>
    </row>
    <row r="13" spans="1:13" x14ac:dyDescent="0.25">
      <c r="A13" s="8">
        <v>12</v>
      </c>
      <c r="B13" s="8">
        <v>27</v>
      </c>
      <c r="C13" s="8">
        <f t="shared" si="0"/>
        <v>1</v>
      </c>
    </row>
    <row r="14" spans="1:13" x14ac:dyDescent="0.25">
      <c r="A14" s="8">
        <v>13</v>
      </c>
      <c r="B14" s="8">
        <v>27</v>
      </c>
      <c r="C14" s="8">
        <f t="shared" si="0"/>
        <v>1</v>
      </c>
    </row>
    <row r="15" spans="1:13" x14ac:dyDescent="0.25">
      <c r="A15" s="8">
        <v>14</v>
      </c>
      <c r="B15" s="8">
        <v>28</v>
      </c>
      <c r="C15" s="8">
        <f t="shared" si="0"/>
        <v>1</v>
      </c>
    </row>
    <row r="16" spans="1:13" x14ac:dyDescent="0.25">
      <c r="A16" s="8">
        <v>15</v>
      </c>
      <c r="B16" s="8">
        <v>28</v>
      </c>
      <c r="C16" s="8">
        <f t="shared" si="0"/>
        <v>1</v>
      </c>
    </row>
    <row r="17" spans="1:3" x14ac:dyDescent="0.25">
      <c r="A17" s="8">
        <v>16</v>
      </c>
      <c r="B17" s="8">
        <v>28</v>
      </c>
      <c r="C17" s="8">
        <f t="shared" si="0"/>
        <v>1</v>
      </c>
    </row>
    <row r="18" spans="1:3" x14ac:dyDescent="0.25">
      <c r="A18" s="8">
        <v>17</v>
      </c>
      <c r="B18" s="8">
        <v>28</v>
      </c>
      <c r="C18" s="8">
        <f t="shared" si="0"/>
        <v>1</v>
      </c>
    </row>
    <row r="19" spans="1:3" x14ac:dyDescent="0.25">
      <c r="A19" s="8">
        <v>18</v>
      </c>
      <c r="B19" s="8">
        <v>28</v>
      </c>
      <c r="C19" s="8">
        <f t="shared" si="0"/>
        <v>1</v>
      </c>
    </row>
    <row r="20" spans="1:3" x14ac:dyDescent="0.25">
      <c r="A20" s="8">
        <v>19</v>
      </c>
      <c r="B20" s="8">
        <v>28</v>
      </c>
      <c r="C20" s="8">
        <f t="shared" si="0"/>
        <v>1</v>
      </c>
    </row>
    <row r="21" spans="1:3" x14ac:dyDescent="0.25">
      <c r="A21" s="8">
        <v>20</v>
      </c>
      <c r="B21" s="8">
        <v>29</v>
      </c>
      <c r="C21" s="8">
        <f t="shared" si="0"/>
        <v>1</v>
      </c>
    </row>
    <row r="22" spans="1:3" x14ac:dyDescent="0.25">
      <c r="A22" s="8">
        <v>21</v>
      </c>
      <c r="B22" s="8">
        <v>29</v>
      </c>
      <c r="C22" s="8">
        <f t="shared" si="0"/>
        <v>1</v>
      </c>
    </row>
    <row r="23" spans="1:3" x14ac:dyDescent="0.25">
      <c r="A23" s="8">
        <v>22</v>
      </c>
      <c r="B23" s="8">
        <v>29</v>
      </c>
      <c r="C23" s="8">
        <f t="shared" si="0"/>
        <v>1</v>
      </c>
    </row>
    <row r="24" spans="1:3" x14ac:dyDescent="0.25">
      <c r="A24" s="8">
        <v>23</v>
      </c>
      <c r="B24" s="8">
        <v>29</v>
      </c>
      <c r="C24" s="8">
        <f t="shared" si="0"/>
        <v>1</v>
      </c>
    </row>
    <row r="25" spans="1:3" x14ac:dyDescent="0.25">
      <c r="A25" s="8">
        <v>24</v>
      </c>
      <c r="B25" s="8">
        <v>30</v>
      </c>
      <c r="C25" s="8">
        <f t="shared" si="0"/>
        <v>1</v>
      </c>
    </row>
    <row r="26" spans="1:3" x14ac:dyDescent="0.25">
      <c r="A26" s="8">
        <v>25</v>
      </c>
      <c r="B26" s="8">
        <v>30</v>
      </c>
      <c r="C26" s="8">
        <f t="shared" si="0"/>
        <v>1</v>
      </c>
    </row>
    <row r="27" spans="1:3" x14ac:dyDescent="0.25">
      <c r="A27" s="8">
        <v>26</v>
      </c>
      <c r="B27" s="8">
        <v>30</v>
      </c>
      <c r="C27" s="8">
        <f t="shared" si="0"/>
        <v>1</v>
      </c>
    </row>
    <row r="28" spans="1:3" x14ac:dyDescent="0.25">
      <c r="A28" s="8">
        <v>27</v>
      </c>
      <c r="B28" s="8">
        <v>31</v>
      </c>
      <c r="C28" s="8">
        <f t="shared" si="0"/>
        <v>1</v>
      </c>
    </row>
    <row r="29" spans="1:3" x14ac:dyDescent="0.25">
      <c r="A29" s="8">
        <v>28</v>
      </c>
      <c r="B29" s="8">
        <v>31</v>
      </c>
      <c r="C29" s="8">
        <f t="shared" si="0"/>
        <v>1</v>
      </c>
    </row>
    <row r="30" spans="1:3" x14ac:dyDescent="0.25">
      <c r="A30" s="8">
        <v>29</v>
      </c>
      <c r="B30" s="8">
        <v>32</v>
      </c>
      <c r="C30" s="8">
        <f t="shared" si="0"/>
        <v>1</v>
      </c>
    </row>
    <row r="31" spans="1:3" x14ac:dyDescent="0.25">
      <c r="A31" s="8">
        <v>30</v>
      </c>
      <c r="B31" s="8">
        <v>33</v>
      </c>
      <c r="C31" s="8">
        <f t="shared" si="0"/>
        <v>2</v>
      </c>
    </row>
    <row r="32" spans="1:3" x14ac:dyDescent="0.25">
      <c r="A32" s="8">
        <v>31</v>
      </c>
      <c r="B32" s="8">
        <v>33</v>
      </c>
      <c r="C32" s="8">
        <f t="shared" si="0"/>
        <v>2</v>
      </c>
    </row>
    <row r="33" spans="1:3" x14ac:dyDescent="0.25">
      <c r="A33" s="8">
        <v>32</v>
      </c>
      <c r="B33" s="8">
        <v>33</v>
      </c>
      <c r="C33" s="8">
        <f t="shared" si="0"/>
        <v>2</v>
      </c>
    </row>
    <row r="34" spans="1:3" x14ac:dyDescent="0.25">
      <c r="A34" s="8">
        <v>33</v>
      </c>
      <c r="B34" s="8">
        <v>33</v>
      </c>
      <c r="C34" s="8">
        <f t="shared" si="0"/>
        <v>2</v>
      </c>
    </row>
    <row r="35" spans="1:3" x14ac:dyDescent="0.25">
      <c r="A35" s="8">
        <v>34</v>
      </c>
      <c r="B35" s="8">
        <v>34</v>
      </c>
      <c r="C35" s="8">
        <f t="shared" si="0"/>
        <v>2</v>
      </c>
    </row>
    <row r="36" spans="1:3" x14ac:dyDescent="0.25">
      <c r="A36" s="8">
        <v>35</v>
      </c>
      <c r="B36" s="8">
        <v>34</v>
      </c>
      <c r="C36" s="8">
        <f t="shared" si="0"/>
        <v>2</v>
      </c>
    </row>
    <row r="37" spans="1:3" x14ac:dyDescent="0.25">
      <c r="A37" s="8">
        <v>36</v>
      </c>
      <c r="B37" s="8">
        <v>34</v>
      </c>
      <c r="C37" s="8">
        <f t="shared" si="0"/>
        <v>2</v>
      </c>
    </row>
    <row r="38" spans="1:3" x14ac:dyDescent="0.25">
      <c r="A38" s="8">
        <v>37</v>
      </c>
      <c r="B38" s="8">
        <v>34</v>
      </c>
      <c r="C38" s="8">
        <f t="shared" si="0"/>
        <v>2</v>
      </c>
    </row>
    <row r="39" spans="1:3" x14ac:dyDescent="0.25">
      <c r="A39" s="8">
        <v>38</v>
      </c>
      <c r="B39" s="8">
        <v>34</v>
      </c>
      <c r="C39" s="8">
        <f t="shared" si="0"/>
        <v>2</v>
      </c>
    </row>
    <row r="40" spans="1:3" x14ac:dyDescent="0.25">
      <c r="A40" s="8">
        <v>39</v>
      </c>
      <c r="B40" s="8">
        <v>35</v>
      </c>
      <c r="C40" s="8">
        <f t="shared" si="0"/>
        <v>2</v>
      </c>
    </row>
    <row r="41" spans="1:3" x14ac:dyDescent="0.25">
      <c r="A41" s="8">
        <v>40</v>
      </c>
      <c r="B41" s="8">
        <v>36</v>
      </c>
      <c r="C41" s="8">
        <f t="shared" si="0"/>
        <v>2</v>
      </c>
    </row>
    <row r="42" spans="1:3" x14ac:dyDescent="0.25">
      <c r="A42" s="8">
        <v>41</v>
      </c>
      <c r="B42" s="8">
        <v>36</v>
      </c>
      <c r="C42" s="8">
        <f t="shared" si="0"/>
        <v>2</v>
      </c>
    </row>
    <row r="43" spans="1:3" x14ac:dyDescent="0.25">
      <c r="A43" s="8">
        <v>42</v>
      </c>
      <c r="B43" s="8">
        <v>36</v>
      </c>
      <c r="C43" s="8">
        <f t="shared" si="0"/>
        <v>2</v>
      </c>
    </row>
    <row r="44" spans="1:3" x14ac:dyDescent="0.25">
      <c r="A44" s="8">
        <v>43</v>
      </c>
      <c r="B44" s="8">
        <v>37</v>
      </c>
      <c r="C44" s="8">
        <f t="shared" si="0"/>
        <v>2</v>
      </c>
    </row>
    <row r="45" spans="1:3" x14ac:dyDescent="0.25">
      <c r="A45" s="8">
        <v>44</v>
      </c>
      <c r="B45" s="8">
        <v>37</v>
      </c>
      <c r="C45" s="8">
        <f t="shared" si="0"/>
        <v>2</v>
      </c>
    </row>
    <row r="46" spans="1:3" x14ac:dyDescent="0.25">
      <c r="A46" s="8">
        <v>45</v>
      </c>
      <c r="B46" s="8">
        <v>37</v>
      </c>
      <c r="C46" s="8">
        <f t="shared" si="0"/>
        <v>2</v>
      </c>
    </row>
    <row r="47" spans="1:3" x14ac:dyDescent="0.25">
      <c r="A47" s="8">
        <v>46</v>
      </c>
      <c r="B47" s="8">
        <v>37</v>
      </c>
      <c r="C47" s="8">
        <f t="shared" si="0"/>
        <v>2</v>
      </c>
    </row>
    <row r="48" spans="1:3" x14ac:dyDescent="0.25">
      <c r="A48" s="8">
        <v>47</v>
      </c>
      <c r="B48" s="8">
        <v>38</v>
      </c>
      <c r="C48" s="8">
        <f t="shared" si="0"/>
        <v>2</v>
      </c>
    </row>
    <row r="49" spans="1:3" x14ac:dyDescent="0.25">
      <c r="A49" s="8">
        <v>48</v>
      </c>
      <c r="B49" s="8">
        <v>38</v>
      </c>
      <c r="C49" s="8">
        <f t="shared" si="0"/>
        <v>2</v>
      </c>
    </row>
    <row r="50" spans="1:3" x14ac:dyDescent="0.25">
      <c r="A50" s="8">
        <v>49</v>
      </c>
      <c r="B50" s="8">
        <v>40</v>
      </c>
      <c r="C50" s="8">
        <f t="shared" si="0"/>
        <v>3</v>
      </c>
    </row>
    <row r="51" spans="1:3" x14ac:dyDescent="0.25">
      <c r="A51" s="8">
        <v>50</v>
      </c>
      <c r="B51" s="8">
        <v>40</v>
      </c>
      <c r="C51" s="8">
        <f t="shared" si="0"/>
        <v>3</v>
      </c>
    </row>
    <row r="52" spans="1:3" x14ac:dyDescent="0.25">
      <c r="A52" s="8">
        <v>51</v>
      </c>
      <c r="B52" s="8">
        <v>40</v>
      </c>
      <c r="C52" s="8">
        <f t="shared" si="0"/>
        <v>3</v>
      </c>
    </row>
    <row r="53" spans="1:3" x14ac:dyDescent="0.25">
      <c r="A53" s="8">
        <v>52</v>
      </c>
      <c r="B53" s="8">
        <v>40</v>
      </c>
      <c r="C53" s="8">
        <f t="shared" si="0"/>
        <v>3</v>
      </c>
    </row>
    <row r="54" spans="1:3" x14ac:dyDescent="0.25">
      <c r="A54" s="8">
        <v>53</v>
      </c>
      <c r="B54" s="8">
        <v>40</v>
      </c>
      <c r="C54" s="8">
        <f t="shared" si="0"/>
        <v>3</v>
      </c>
    </row>
    <row r="55" spans="1:3" x14ac:dyDescent="0.25">
      <c r="A55" s="8">
        <v>54</v>
      </c>
      <c r="B55" s="8">
        <v>41</v>
      </c>
      <c r="C55" s="8">
        <f t="shared" si="0"/>
        <v>3</v>
      </c>
    </row>
    <row r="56" spans="1:3" x14ac:dyDescent="0.25">
      <c r="A56" s="8">
        <v>55</v>
      </c>
      <c r="B56" s="8">
        <v>41</v>
      </c>
      <c r="C56" s="8">
        <f t="shared" si="0"/>
        <v>3</v>
      </c>
    </row>
    <row r="57" spans="1:3" x14ac:dyDescent="0.25">
      <c r="A57" s="8">
        <v>56</v>
      </c>
      <c r="B57" s="8">
        <v>41</v>
      </c>
      <c r="C57" s="8">
        <f t="shared" si="0"/>
        <v>3</v>
      </c>
    </row>
    <row r="58" spans="1:3" x14ac:dyDescent="0.25">
      <c r="A58" s="8">
        <v>57</v>
      </c>
      <c r="B58" s="8">
        <v>41</v>
      </c>
      <c r="C58" s="8">
        <f t="shared" si="0"/>
        <v>3</v>
      </c>
    </row>
    <row r="59" spans="1:3" x14ac:dyDescent="0.25">
      <c r="A59" s="8">
        <v>58</v>
      </c>
      <c r="B59" s="8">
        <v>41</v>
      </c>
      <c r="C59" s="8">
        <f t="shared" si="0"/>
        <v>3</v>
      </c>
    </row>
    <row r="60" spans="1:3" x14ac:dyDescent="0.25">
      <c r="A60" s="8">
        <v>59</v>
      </c>
      <c r="B60" s="8">
        <v>42</v>
      </c>
      <c r="C60" s="8">
        <f t="shared" si="0"/>
        <v>3</v>
      </c>
    </row>
    <row r="61" spans="1:3" x14ac:dyDescent="0.25">
      <c r="A61" s="8">
        <v>60</v>
      </c>
      <c r="B61" s="8">
        <v>42</v>
      </c>
      <c r="C61" s="8">
        <f t="shared" si="0"/>
        <v>3</v>
      </c>
    </row>
    <row r="62" spans="1:3" x14ac:dyDescent="0.25">
      <c r="A62" s="8">
        <v>61</v>
      </c>
      <c r="B62" s="8">
        <v>42</v>
      </c>
      <c r="C62" s="8">
        <f t="shared" si="0"/>
        <v>3</v>
      </c>
    </row>
    <row r="63" spans="1:3" x14ac:dyDescent="0.25">
      <c r="A63" s="8">
        <v>62</v>
      </c>
      <c r="B63" s="8">
        <v>42</v>
      </c>
      <c r="C63" s="8">
        <f t="shared" si="0"/>
        <v>3</v>
      </c>
    </row>
    <row r="64" spans="1:3" x14ac:dyDescent="0.25">
      <c r="A64" s="8">
        <v>63</v>
      </c>
      <c r="B64" s="8">
        <v>42</v>
      </c>
      <c r="C64" s="8">
        <f t="shared" si="0"/>
        <v>3</v>
      </c>
    </row>
    <row r="65" spans="1:3" x14ac:dyDescent="0.25">
      <c r="A65" s="8">
        <v>64</v>
      </c>
      <c r="B65" s="8">
        <v>42</v>
      </c>
      <c r="C65" s="8">
        <f t="shared" si="0"/>
        <v>3</v>
      </c>
    </row>
    <row r="66" spans="1:3" x14ac:dyDescent="0.25">
      <c r="A66" s="8">
        <v>65</v>
      </c>
      <c r="B66" s="8">
        <v>43</v>
      </c>
      <c r="C66" s="8">
        <f t="shared" si="0"/>
        <v>3</v>
      </c>
    </row>
    <row r="67" spans="1:3" x14ac:dyDescent="0.25">
      <c r="A67" s="8">
        <v>66</v>
      </c>
      <c r="B67" s="8">
        <v>43</v>
      </c>
      <c r="C67" s="8">
        <f t="shared" ref="C67:C125" si="4">_xlfn.IFS(B67&lt;=$H$2,1,B67&lt;=$H$3,2,B67&lt;=$H$4,3,B67&lt;=$H$5,4,B67&lt;=$H$6,5)</f>
        <v>3</v>
      </c>
    </row>
    <row r="68" spans="1:3" x14ac:dyDescent="0.25">
      <c r="A68" s="8">
        <v>67</v>
      </c>
      <c r="B68" s="8">
        <v>43</v>
      </c>
      <c r="C68" s="8">
        <f t="shared" si="4"/>
        <v>3</v>
      </c>
    </row>
    <row r="69" spans="1:3" x14ac:dyDescent="0.25">
      <c r="A69" s="8">
        <v>68</v>
      </c>
      <c r="B69" s="8">
        <v>43</v>
      </c>
      <c r="C69" s="8">
        <f t="shared" si="4"/>
        <v>3</v>
      </c>
    </row>
    <row r="70" spans="1:3" x14ac:dyDescent="0.25">
      <c r="A70" s="8">
        <v>69</v>
      </c>
      <c r="B70" s="8">
        <v>44</v>
      </c>
      <c r="C70" s="8">
        <f t="shared" si="4"/>
        <v>3</v>
      </c>
    </row>
    <row r="71" spans="1:3" x14ac:dyDescent="0.25">
      <c r="A71" s="8">
        <v>70</v>
      </c>
      <c r="B71" s="8">
        <v>44</v>
      </c>
      <c r="C71" s="8">
        <f t="shared" si="4"/>
        <v>3</v>
      </c>
    </row>
    <row r="72" spans="1:3" x14ac:dyDescent="0.25">
      <c r="A72" s="8">
        <v>71</v>
      </c>
      <c r="B72" s="8">
        <v>44</v>
      </c>
      <c r="C72" s="8">
        <f t="shared" si="4"/>
        <v>3</v>
      </c>
    </row>
    <row r="73" spans="1:3" x14ac:dyDescent="0.25">
      <c r="A73" s="8">
        <v>72</v>
      </c>
      <c r="B73" s="8">
        <v>44</v>
      </c>
      <c r="C73" s="8">
        <f t="shared" si="4"/>
        <v>3</v>
      </c>
    </row>
    <row r="74" spans="1:3" x14ac:dyDescent="0.25">
      <c r="A74" s="8">
        <v>73</v>
      </c>
      <c r="B74" s="8">
        <v>45</v>
      </c>
      <c r="C74" s="8">
        <f t="shared" si="4"/>
        <v>3</v>
      </c>
    </row>
    <row r="75" spans="1:3" x14ac:dyDescent="0.25">
      <c r="A75" s="8">
        <v>74</v>
      </c>
      <c r="B75" s="8">
        <v>45</v>
      </c>
      <c r="C75" s="8">
        <f t="shared" si="4"/>
        <v>3</v>
      </c>
    </row>
    <row r="76" spans="1:3" x14ac:dyDescent="0.25">
      <c r="A76" s="8">
        <v>75</v>
      </c>
      <c r="B76" s="8">
        <v>45</v>
      </c>
      <c r="C76" s="8">
        <f t="shared" si="4"/>
        <v>3</v>
      </c>
    </row>
    <row r="77" spans="1:3" x14ac:dyDescent="0.25">
      <c r="A77" s="8">
        <v>76</v>
      </c>
      <c r="B77" s="8">
        <v>45</v>
      </c>
      <c r="C77" s="8">
        <f t="shared" si="4"/>
        <v>3</v>
      </c>
    </row>
    <row r="78" spans="1:3" x14ac:dyDescent="0.25">
      <c r="A78" s="8">
        <v>77</v>
      </c>
      <c r="B78" s="8">
        <v>45</v>
      </c>
      <c r="C78" s="8">
        <f t="shared" si="4"/>
        <v>3</v>
      </c>
    </row>
    <row r="79" spans="1:3" x14ac:dyDescent="0.25">
      <c r="A79" s="8">
        <v>78</v>
      </c>
      <c r="B79" s="8">
        <v>46</v>
      </c>
      <c r="C79" s="8">
        <f t="shared" si="4"/>
        <v>3</v>
      </c>
    </row>
    <row r="80" spans="1:3" x14ac:dyDescent="0.25">
      <c r="A80" s="8">
        <v>79</v>
      </c>
      <c r="B80" s="8">
        <v>47</v>
      </c>
      <c r="C80" s="8">
        <f t="shared" si="4"/>
        <v>4</v>
      </c>
    </row>
    <row r="81" spans="1:3" x14ac:dyDescent="0.25">
      <c r="A81" s="8">
        <v>80</v>
      </c>
      <c r="B81" s="8">
        <v>47</v>
      </c>
      <c r="C81" s="8">
        <f t="shared" si="4"/>
        <v>4</v>
      </c>
    </row>
    <row r="82" spans="1:3" x14ac:dyDescent="0.25">
      <c r="A82" s="8">
        <v>81</v>
      </c>
      <c r="B82" s="8">
        <v>47</v>
      </c>
      <c r="C82" s="8">
        <f t="shared" si="4"/>
        <v>4</v>
      </c>
    </row>
    <row r="83" spans="1:3" x14ac:dyDescent="0.25">
      <c r="A83" s="8">
        <v>82</v>
      </c>
      <c r="B83" s="8">
        <v>48</v>
      </c>
      <c r="C83" s="8">
        <f t="shared" si="4"/>
        <v>4</v>
      </c>
    </row>
    <row r="84" spans="1:3" x14ac:dyDescent="0.25">
      <c r="A84" s="8">
        <v>83</v>
      </c>
      <c r="B84" s="8">
        <v>48</v>
      </c>
      <c r="C84" s="8">
        <f t="shared" si="4"/>
        <v>4</v>
      </c>
    </row>
    <row r="85" spans="1:3" x14ac:dyDescent="0.25">
      <c r="A85" s="8">
        <v>84</v>
      </c>
      <c r="B85" s="8">
        <v>49</v>
      </c>
      <c r="C85" s="8">
        <f t="shared" si="4"/>
        <v>4</v>
      </c>
    </row>
    <row r="86" spans="1:3" x14ac:dyDescent="0.25">
      <c r="A86" s="8">
        <v>85</v>
      </c>
      <c r="B86" s="8">
        <v>49</v>
      </c>
      <c r="C86" s="8">
        <f t="shared" si="4"/>
        <v>4</v>
      </c>
    </row>
    <row r="87" spans="1:3" x14ac:dyDescent="0.25">
      <c r="A87" s="8">
        <v>86</v>
      </c>
      <c r="B87" s="8">
        <v>49</v>
      </c>
      <c r="C87" s="8">
        <f t="shared" si="4"/>
        <v>4</v>
      </c>
    </row>
    <row r="88" spans="1:3" x14ac:dyDescent="0.25">
      <c r="A88" s="8">
        <v>87</v>
      </c>
      <c r="B88" s="8">
        <v>49</v>
      </c>
      <c r="C88" s="8">
        <f t="shared" si="4"/>
        <v>4</v>
      </c>
    </row>
    <row r="89" spans="1:3" x14ac:dyDescent="0.25">
      <c r="A89" s="8">
        <v>88</v>
      </c>
      <c r="B89" s="8">
        <v>50</v>
      </c>
      <c r="C89" s="8">
        <f t="shared" si="4"/>
        <v>4</v>
      </c>
    </row>
    <row r="90" spans="1:3" x14ac:dyDescent="0.25">
      <c r="A90" s="8">
        <v>89</v>
      </c>
      <c r="B90" s="8">
        <v>50</v>
      </c>
      <c r="C90" s="8">
        <f t="shared" si="4"/>
        <v>4</v>
      </c>
    </row>
    <row r="91" spans="1:3" x14ac:dyDescent="0.25">
      <c r="A91" s="8">
        <v>90</v>
      </c>
      <c r="B91" s="8">
        <v>51</v>
      </c>
      <c r="C91" s="8">
        <f t="shared" si="4"/>
        <v>4</v>
      </c>
    </row>
    <row r="92" spans="1:3" x14ac:dyDescent="0.25">
      <c r="A92" s="8">
        <v>91</v>
      </c>
      <c r="B92" s="8">
        <v>51</v>
      </c>
      <c r="C92" s="8">
        <f t="shared" si="4"/>
        <v>4</v>
      </c>
    </row>
    <row r="93" spans="1:3" x14ac:dyDescent="0.25">
      <c r="A93" s="8">
        <v>92</v>
      </c>
      <c r="B93" s="8">
        <v>51</v>
      </c>
      <c r="C93" s="8">
        <f t="shared" si="4"/>
        <v>4</v>
      </c>
    </row>
    <row r="94" spans="1:3" x14ac:dyDescent="0.25">
      <c r="A94" s="8">
        <v>93</v>
      </c>
      <c r="B94" s="8">
        <v>51</v>
      </c>
      <c r="C94" s="8">
        <f t="shared" si="4"/>
        <v>4</v>
      </c>
    </row>
    <row r="95" spans="1:3" x14ac:dyDescent="0.25">
      <c r="A95" s="8">
        <v>94</v>
      </c>
      <c r="B95" s="8">
        <v>51</v>
      </c>
      <c r="C95" s="8">
        <f t="shared" si="4"/>
        <v>4</v>
      </c>
    </row>
    <row r="96" spans="1:3" x14ac:dyDescent="0.25">
      <c r="A96" s="8">
        <v>95</v>
      </c>
      <c r="B96" s="8">
        <v>52</v>
      </c>
      <c r="C96" s="8">
        <f t="shared" si="4"/>
        <v>4</v>
      </c>
    </row>
    <row r="97" spans="1:3" x14ac:dyDescent="0.25">
      <c r="A97" s="8">
        <v>96</v>
      </c>
      <c r="B97" s="8">
        <v>52</v>
      </c>
      <c r="C97" s="8">
        <f t="shared" si="4"/>
        <v>4</v>
      </c>
    </row>
    <row r="98" spans="1:3" x14ac:dyDescent="0.25">
      <c r="A98" s="8">
        <v>97</v>
      </c>
      <c r="B98" s="8">
        <v>52</v>
      </c>
      <c r="C98" s="8">
        <f t="shared" si="4"/>
        <v>4</v>
      </c>
    </row>
    <row r="99" spans="1:3" x14ac:dyDescent="0.25">
      <c r="A99" s="8">
        <v>98</v>
      </c>
      <c r="B99" s="8">
        <v>52</v>
      </c>
      <c r="C99" s="8">
        <f t="shared" si="4"/>
        <v>4</v>
      </c>
    </row>
    <row r="100" spans="1:3" x14ac:dyDescent="0.25">
      <c r="A100" s="8">
        <v>99</v>
      </c>
      <c r="B100" s="8">
        <v>53</v>
      </c>
      <c r="C100" s="8">
        <f t="shared" si="4"/>
        <v>4</v>
      </c>
    </row>
    <row r="101" spans="1:3" x14ac:dyDescent="0.25">
      <c r="A101" s="8">
        <v>100</v>
      </c>
      <c r="B101" s="8">
        <v>53</v>
      </c>
      <c r="C101" s="8">
        <f t="shared" si="4"/>
        <v>4</v>
      </c>
    </row>
    <row r="102" spans="1:3" x14ac:dyDescent="0.25">
      <c r="A102" s="8">
        <v>101</v>
      </c>
      <c r="B102" s="8">
        <v>54</v>
      </c>
      <c r="C102" s="8">
        <f t="shared" si="4"/>
        <v>5</v>
      </c>
    </row>
    <row r="103" spans="1:3" x14ac:dyDescent="0.25">
      <c r="A103" s="8">
        <v>102</v>
      </c>
      <c r="B103" s="8">
        <v>54</v>
      </c>
      <c r="C103" s="8">
        <f t="shared" si="4"/>
        <v>5</v>
      </c>
    </row>
    <row r="104" spans="1:3" x14ac:dyDescent="0.25">
      <c r="A104" s="8">
        <v>103</v>
      </c>
      <c r="B104" s="8">
        <v>54</v>
      </c>
      <c r="C104" s="8">
        <f t="shared" si="4"/>
        <v>5</v>
      </c>
    </row>
    <row r="105" spans="1:3" x14ac:dyDescent="0.25">
      <c r="A105" s="8">
        <v>104</v>
      </c>
      <c r="B105" s="8">
        <v>54</v>
      </c>
      <c r="C105" s="8">
        <f t="shared" si="4"/>
        <v>5</v>
      </c>
    </row>
    <row r="106" spans="1:3" x14ac:dyDescent="0.25">
      <c r="A106" s="8">
        <v>105</v>
      </c>
      <c r="B106" s="8">
        <v>54</v>
      </c>
      <c r="C106" s="8">
        <f t="shared" si="4"/>
        <v>5</v>
      </c>
    </row>
    <row r="107" spans="1:3" x14ac:dyDescent="0.25">
      <c r="A107" s="8">
        <v>106</v>
      </c>
      <c r="B107" s="8">
        <v>55</v>
      </c>
      <c r="C107" s="8">
        <f t="shared" si="4"/>
        <v>5</v>
      </c>
    </row>
    <row r="108" spans="1:3" x14ac:dyDescent="0.25">
      <c r="A108" s="8">
        <v>107</v>
      </c>
      <c r="B108" s="8">
        <v>56</v>
      </c>
      <c r="C108" s="8">
        <f t="shared" si="4"/>
        <v>5</v>
      </c>
    </row>
    <row r="109" spans="1:3" x14ac:dyDescent="0.25">
      <c r="A109" s="8">
        <v>108</v>
      </c>
      <c r="B109" s="8">
        <v>57</v>
      </c>
      <c r="C109" s="8">
        <f t="shared" si="4"/>
        <v>5</v>
      </c>
    </row>
    <row r="110" spans="1:3" x14ac:dyDescent="0.25">
      <c r="A110" s="8">
        <v>109</v>
      </c>
      <c r="B110" s="8">
        <v>57</v>
      </c>
      <c r="C110" s="8">
        <f t="shared" si="4"/>
        <v>5</v>
      </c>
    </row>
    <row r="111" spans="1:3" x14ac:dyDescent="0.25">
      <c r="A111" s="8">
        <v>110</v>
      </c>
      <c r="B111" s="8">
        <v>57</v>
      </c>
      <c r="C111" s="8">
        <f t="shared" si="4"/>
        <v>5</v>
      </c>
    </row>
    <row r="112" spans="1:3" x14ac:dyDescent="0.25">
      <c r="A112" s="8">
        <v>111</v>
      </c>
      <c r="B112" s="8">
        <v>58</v>
      </c>
      <c r="C112" s="8">
        <f t="shared" si="4"/>
        <v>5</v>
      </c>
    </row>
    <row r="113" spans="1:3" x14ac:dyDescent="0.25">
      <c r="A113" s="8">
        <v>112</v>
      </c>
      <c r="B113" s="8">
        <v>58</v>
      </c>
      <c r="C113" s="8">
        <f t="shared" si="4"/>
        <v>5</v>
      </c>
    </row>
    <row r="114" spans="1:3" x14ac:dyDescent="0.25">
      <c r="A114" s="8">
        <v>113</v>
      </c>
      <c r="B114" s="8">
        <v>58</v>
      </c>
      <c r="C114" s="8">
        <f t="shared" si="4"/>
        <v>5</v>
      </c>
    </row>
    <row r="115" spans="1:3" x14ac:dyDescent="0.25">
      <c r="A115" s="8">
        <v>114</v>
      </c>
      <c r="B115" s="8">
        <v>58</v>
      </c>
      <c r="C115" s="8">
        <f t="shared" si="4"/>
        <v>5</v>
      </c>
    </row>
    <row r="116" spans="1:3" x14ac:dyDescent="0.25">
      <c r="A116" s="8">
        <v>115</v>
      </c>
      <c r="B116" s="8">
        <v>59</v>
      </c>
      <c r="C116" s="8">
        <f t="shared" si="4"/>
        <v>5</v>
      </c>
    </row>
    <row r="117" spans="1:3" x14ac:dyDescent="0.25">
      <c r="A117" s="8">
        <v>116</v>
      </c>
      <c r="B117" s="8">
        <v>59</v>
      </c>
      <c r="C117" s="8">
        <f t="shared" si="4"/>
        <v>5</v>
      </c>
    </row>
    <row r="118" spans="1:3" x14ac:dyDescent="0.25">
      <c r="A118" s="8">
        <v>117</v>
      </c>
      <c r="B118" s="8">
        <v>59</v>
      </c>
      <c r="C118" s="8">
        <f t="shared" si="4"/>
        <v>5</v>
      </c>
    </row>
    <row r="119" spans="1:3" x14ac:dyDescent="0.25">
      <c r="A119" s="8">
        <v>118</v>
      </c>
      <c r="B119" s="8">
        <v>59</v>
      </c>
      <c r="C119" s="8">
        <f t="shared" si="4"/>
        <v>5</v>
      </c>
    </row>
    <row r="120" spans="1:3" x14ac:dyDescent="0.25">
      <c r="A120" s="8">
        <v>119</v>
      </c>
      <c r="B120" s="8">
        <v>59</v>
      </c>
      <c r="C120" s="8">
        <f t="shared" si="4"/>
        <v>5</v>
      </c>
    </row>
    <row r="121" spans="1:3" x14ac:dyDescent="0.25">
      <c r="A121" s="8">
        <v>120</v>
      </c>
      <c r="B121" s="8">
        <v>59</v>
      </c>
      <c r="C121" s="8">
        <f t="shared" si="4"/>
        <v>5</v>
      </c>
    </row>
    <row r="122" spans="1:3" x14ac:dyDescent="0.25">
      <c r="A122" s="8">
        <v>121</v>
      </c>
      <c r="B122" s="8">
        <v>59</v>
      </c>
      <c r="C122" s="8">
        <f t="shared" si="4"/>
        <v>5</v>
      </c>
    </row>
    <row r="123" spans="1:3" x14ac:dyDescent="0.25">
      <c r="A123" s="8">
        <v>122</v>
      </c>
      <c r="B123" s="8">
        <v>59</v>
      </c>
      <c r="C123" s="8">
        <f t="shared" si="4"/>
        <v>5</v>
      </c>
    </row>
    <row r="124" spans="1:3" x14ac:dyDescent="0.25">
      <c r="A124" s="8">
        <v>123</v>
      </c>
      <c r="B124" s="8">
        <v>60</v>
      </c>
      <c r="C124" s="8">
        <f t="shared" si="4"/>
        <v>5</v>
      </c>
    </row>
    <row r="125" spans="1:3" x14ac:dyDescent="0.25">
      <c r="A125" s="8">
        <v>124</v>
      </c>
      <c r="B125" s="8">
        <v>60</v>
      </c>
      <c r="C125" s="8">
        <f t="shared" si="4"/>
        <v>5</v>
      </c>
    </row>
  </sheetData>
  <sortState xmlns:xlrd2="http://schemas.microsoft.com/office/spreadsheetml/2017/richdata2" ref="C2:C125">
    <sortCondition ref="C2:C125"/>
  </sortState>
  <mergeCells count="1">
    <mergeCell ref="E7:F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B835C-8364-4F11-8049-9CD01948FDB4}">
  <dimension ref="A1:D127"/>
  <sheetViews>
    <sheetView workbookViewId="0">
      <selection activeCell="K36" sqref="K36"/>
    </sheetView>
  </sheetViews>
  <sheetFormatPr baseColWidth="10" defaultRowHeight="15" x14ac:dyDescent="0.25"/>
  <cols>
    <col min="1" max="1" width="12.42578125" customWidth="1"/>
    <col min="2" max="2" width="11" customWidth="1"/>
    <col min="3" max="4" width="16.42578125" customWidth="1"/>
    <col min="8" max="9" width="11.42578125" customWidth="1"/>
  </cols>
  <sheetData>
    <row r="1" spans="1:4" ht="27.75" customHeight="1" x14ac:dyDescent="0.25">
      <c r="A1" s="11" t="s">
        <v>43</v>
      </c>
      <c r="B1" s="11" t="s">
        <v>3</v>
      </c>
      <c r="C1" s="11" t="s">
        <v>6</v>
      </c>
      <c r="D1" s="11" t="s">
        <v>41</v>
      </c>
    </row>
    <row r="2" spans="1:4" x14ac:dyDescent="0.25">
      <c r="A2" s="23">
        <v>20</v>
      </c>
      <c r="B2" s="8">
        <v>6</v>
      </c>
      <c r="C2" s="8">
        <v>41</v>
      </c>
      <c r="D2" s="8">
        <v>4.2</v>
      </c>
    </row>
    <row r="3" spans="1:4" x14ac:dyDescent="0.25">
      <c r="A3" s="23">
        <v>15</v>
      </c>
      <c r="B3" s="8">
        <v>8</v>
      </c>
      <c r="C3" s="8">
        <v>57</v>
      </c>
      <c r="D3" s="8">
        <v>4.8</v>
      </c>
    </row>
    <row r="4" spans="1:4" x14ac:dyDescent="0.25">
      <c r="A4" s="23">
        <v>20</v>
      </c>
      <c r="B4" s="8">
        <v>10</v>
      </c>
      <c r="C4" s="8">
        <v>53</v>
      </c>
      <c r="D4" s="8">
        <v>4.5</v>
      </c>
    </row>
    <row r="5" spans="1:4" x14ac:dyDescent="0.25">
      <c r="A5" s="23">
        <v>20</v>
      </c>
      <c r="B5" s="8">
        <v>4</v>
      </c>
      <c r="C5" s="8">
        <v>40</v>
      </c>
      <c r="D5" s="8">
        <v>4.9000000000000004</v>
      </c>
    </row>
    <row r="6" spans="1:4" x14ac:dyDescent="0.25">
      <c r="A6" s="23">
        <v>18</v>
      </c>
      <c r="B6" s="8">
        <v>12</v>
      </c>
      <c r="C6" s="8">
        <v>29</v>
      </c>
      <c r="D6" s="8">
        <v>3.8</v>
      </c>
    </row>
    <row r="7" spans="1:4" x14ac:dyDescent="0.25">
      <c r="A7" s="23">
        <v>15</v>
      </c>
      <c r="B7" s="8">
        <v>14</v>
      </c>
      <c r="C7" s="8">
        <v>32</v>
      </c>
      <c r="D7" s="8">
        <v>4.4000000000000004</v>
      </c>
    </row>
    <row r="8" spans="1:4" x14ac:dyDescent="0.25">
      <c r="A8" s="23">
        <v>15</v>
      </c>
      <c r="B8" s="8">
        <v>4</v>
      </c>
      <c r="C8" s="8">
        <v>27</v>
      </c>
      <c r="D8" s="8">
        <v>4.2</v>
      </c>
    </row>
    <row r="9" spans="1:4" x14ac:dyDescent="0.25">
      <c r="A9" s="23">
        <v>20</v>
      </c>
      <c r="B9" s="8">
        <v>6</v>
      </c>
      <c r="C9" s="8">
        <v>46</v>
      </c>
      <c r="D9" s="8">
        <v>4.2</v>
      </c>
    </row>
    <row r="10" spans="1:4" x14ac:dyDescent="0.25">
      <c r="A10" s="23">
        <v>15</v>
      </c>
      <c r="B10" s="8">
        <v>12</v>
      </c>
      <c r="C10" s="8">
        <v>60</v>
      </c>
      <c r="D10" s="8">
        <v>4.2</v>
      </c>
    </row>
    <row r="11" spans="1:4" x14ac:dyDescent="0.25">
      <c r="A11" s="23">
        <v>15</v>
      </c>
      <c r="B11" s="8">
        <v>4</v>
      </c>
      <c r="C11" s="8">
        <v>25</v>
      </c>
      <c r="D11" s="8">
        <v>3.8</v>
      </c>
    </row>
    <row r="12" spans="1:4" x14ac:dyDescent="0.25">
      <c r="A12" s="23">
        <v>20</v>
      </c>
      <c r="B12" s="8">
        <v>8</v>
      </c>
      <c r="C12" s="8">
        <v>43</v>
      </c>
      <c r="D12" s="8">
        <v>4.5</v>
      </c>
    </row>
    <row r="13" spans="1:4" x14ac:dyDescent="0.25">
      <c r="A13" s="23">
        <v>15</v>
      </c>
      <c r="B13" s="8">
        <v>14</v>
      </c>
      <c r="C13" s="8">
        <v>40</v>
      </c>
      <c r="D13" s="8">
        <v>4.8</v>
      </c>
    </row>
    <row r="14" spans="1:4" x14ac:dyDescent="0.25">
      <c r="A14" s="23">
        <v>15</v>
      </c>
      <c r="B14" s="8">
        <v>6</v>
      </c>
      <c r="C14" s="8">
        <v>26</v>
      </c>
      <c r="D14" s="8">
        <v>4.4000000000000004</v>
      </c>
    </row>
    <row r="15" spans="1:4" x14ac:dyDescent="0.25">
      <c r="A15" s="23">
        <v>20</v>
      </c>
      <c r="B15" s="8">
        <v>14</v>
      </c>
      <c r="C15" s="8">
        <v>47</v>
      </c>
      <c r="D15" s="8">
        <v>4.8</v>
      </c>
    </row>
    <row r="16" spans="1:4" x14ac:dyDescent="0.25">
      <c r="A16" s="23">
        <v>20</v>
      </c>
      <c r="B16" s="8">
        <v>6</v>
      </c>
      <c r="C16" s="8">
        <v>46</v>
      </c>
      <c r="D16" s="8">
        <v>3.6</v>
      </c>
    </row>
    <row r="17" spans="1:4" x14ac:dyDescent="0.25">
      <c r="A17" s="23">
        <v>20</v>
      </c>
      <c r="B17" s="8">
        <v>8</v>
      </c>
      <c r="C17" s="8">
        <v>31</v>
      </c>
      <c r="D17" s="8">
        <v>4.5</v>
      </c>
    </row>
    <row r="18" spans="1:4" x14ac:dyDescent="0.25">
      <c r="A18" s="23">
        <v>15</v>
      </c>
      <c r="B18" s="8">
        <v>12</v>
      </c>
      <c r="C18" s="8">
        <v>33</v>
      </c>
      <c r="D18" s="8">
        <v>4.9000000000000004</v>
      </c>
    </row>
    <row r="19" spans="1:4" x14ac:dyDescent="0.25">
      <c r="A19" s="23">
        <v>18</v>
      </c>
      <c r="B19" s="8">
        <v>4</v>
      </c>
      <c r="C19" s="8">
        <v>53</v>
      </c>
      <c r="D19" s="8">
        <v>4.9000000000000004</v>
      </c>
    </row>
    <row r="20" spans="1:4" x14ac:dyDescent="0.25">
      <c r="A20" s="23">
        <v>18</v>
      </c>
      <c r="B20" s="8">
        <v>6</v>
      </c>
      <c r="C20" s="8">
        <v>35</v>
      </c>
      <c r="D20" s="8">
        <v>3.8</v>
      </c>
    </row>
    <row r="21" spans="1:4" x14ac:dyDescent="0.25">
      <c r="A21" s="23">
        <v>20</v>
      </c>
      <c r="B21" s="8">
        <v>12</v>
      </c>
      <c r="C21" s="8">
        <v>29</v>
      </c>
      <c r="D21" s="8">
        <v>4.4000000000000004</v>
      </c>
    </row>
    <row r="22" spans="1:4" x14ac:dyDescent="0.25">
      <c r="A22" s="23">
        <v>20</v>
      </c>
      <c r="B22" s="8">
        <v>4</v>
      </c>
      <c r="C22" s="8">
        <v>29</v>
      </c>
      <c r="D22" s="8">
        <v>4.2</v>
      </c>
    </row>
    <row r="23" spans="1:4" x14ac:dyDescent="0.25">
      <c r="A23" s="23">
        <v>18</v>
      </c>
      <c r="B23" s="8">
        <v>8</v>
      </c>
      <c r="C23" s="8">
        <v>39</v>
      </c>
      <c r="D23" s="8">
        <v>4.5</v>
      </c>
    </row>
    <row r="24" spans="1:4" x14ac:dyDescent="0.25">
      <c r="A24" s="23">
        <v>15</v>
      </c>
      <c r="B24" s="8">
        <v>10</v>
      </c>
      <c r="C24" s="8">
        <v>31</v>
      </c>
      <c r="D24" s="8">
        <v>4.8</v>
      </c>
    </row>
    <row r="25" spans="1:4" x14ac:dyDescent="0.25">
      <c r="A25" s="23">
        <v>18</v>
      </c>
      <c r="B25" s="8">
        <v>6</v>
      </c>
      <c r="C25" s="8">
        <v>57</v>
      </c>
      <c r="D25" s="8">
        <v>4.4000000000000004</v>
      </c>
    </row>
    <row r="26" spans="1:4" x14ac:dyDescent="0.25">
      <c r="A26" s="23">
        <v>15</v>
      </c>
      <c r="B26" s="8">
        <v>12</v>
      </c>
      <c r="C26" s="8">
        <v>44</v>
      </c>
      <c r="D26" s="8">
        <v>4.8</v>
      </c>
    </row>
    <row r="27" spans="1:4" x14ac:dyDescent="0.25">
      <c r="A27" s="23">
        <v>15</v>
      </c>
      <c r="B27" s="8">
        <v>14</v>
      </c>
      <c r="C27" s="8">
        <v>55</v>
      </c>
      <c r="D27" s="8">
        <v>3.6</v>
      </c>
    </row>
    <row r="28" spans="1:4" x14ac:dyDescent="0.25">
      <c r="A28" s="23">
        <v>15</v>
      </c>
      <c r="B28" s="8">
        <v>6</v>
      </c>
      <c r="C28" s="8">
        <v>48</v>
      </c>
      <c r="D28" s="8">
        <v>4.5</v>
      </c>
    </row>
    <row r="29" spans="1:4" x14ac:dyDescent="0.25">
      <c r="A29" s="23">
        <v>15</v>
      </c>
      <c r="B29" s="8">
        <v>4</v>
      </c>
      <c r="C29" s="8">
        <v>37</v>
      </c>
      <c r="D29" s="8">
        <v>4.9000000000000004</v>
      </c>
    </row>
    <row r="30" spans="1:4" x14ac:dyDescent="0.25">
      <c r="A30" s="23">
        <v>20</v>
      </c>
      <c r="B30" s="8">
        <v>10</v>
      </c>
      <c r="C30" s="8">
        <v>50</v>
      </c>
      <c r="D30" s="8">
        <v>4.9000000000000004</v>
      </c>
    </row>
    <row r="31" spans="1:4" x14ac:dyDescent="0.25">
      <c r="A31" s="23">
        <v>15</v>
      </c>
      <c r="B31" s="8">
        <v>8</v>
      </c>
      <c r="C31" s="8">
        <v>56</v>
      </c>
      <c r="D31" s="8">
        <v>3.8</v>
      </c>
    </row>
    <row r="32" spans="1:4" x14ac:dyDescent="0.25">
      <c r="A32" s="23">
        <v>20</v>
      </c>
      <c r="B32" s="8">
        <v>14</v>
      </c>
      <c r="C32" s="8">
        <v>33</v>
      </c>
      <c r="D32" s="8">
        <v>4.4000000000000004</v>
      </c>
    </row>
    <row r="33" spans="1:4" x14ac:dyDescent="0.25">
      <c r="A33" s="23">
        <v>20</v>
      </c>
      <c r="B33" s="8">
        <v>6</v>
      </c>
      <c r="C33" s="8">
        <v>39</v>
      </c>
      <c r="D33" s="8">
        <v>4.2</v>
      </c>
    </row>
    <row r="34" spans="1:4" x14ac:dyDescent="0.25">
      <c r="A34" s="23">
        <v>15</v>
      </c>
      <c r="B34" s="8">
        <v>4</v>
      </c>
      <c r="C34" s="8">
        <v>33</v>
      </c>
      <c r="D34" s="8">
        <v>4.2</v>
      </c>
    </row>
    <row r="35" spans="1:4" x14ac:dyDescent="0.25">
      <c r="A35" s="23">
        <v>15</v>
      </c>
      <c r="B35" s="8">
        <v>6</v>
      </c>
      <c r="C35" s="8">
        <v>26</v>
      </c>
      <c r="D35" s="8">
        <v>4.8</v>
      </c>
    </row>
    <row r="36" spans="1:4" x14ac:dyDescent="0.25">
      <c r="A36" s="23">
        <v>20</v>
      </c>
      <c r="B36" s="8">
        <v>12</v>
      </c>
      <c r="C36" s="8">
        <v>25</v>
      </c>
      <c r="D36" s="8">
        <v>4.5</v>
      </c>
    </row>
    <row r="37" spans="1:4" x14ac:dyDescent="0.25">
      <c r="A37" s="23">
        <v>15</v>
      </c>
      <c r="B37" s="8">
        <v>10</v>
      </c>
      <c r="C37" s="8">
        <v>57</v>
      </c>
      <c r="D37" s="8">
        <v>4.9000000000000004</v>
      </c>
    </row>
    <row r="38" spans="1:4" x14ac:dyDescent="0.25">
      <c r="A38" s="23">
        <v>15</v>
      </c>
      <c r="B38" s="8">
        <v>4</v>
      </c>
      <c r="C38" s="8">
        <v>35</v>
      </c>
      <c r="D38" s="8">
        <v>3.8</v>
      </c>
    </row>
    <row r="39" spans="1:4" x14ac:dyDescent="0.25">
      <c r="A39" s="23">
        <v>20</v>
      </c>
      <c r="B39" s="8">
        <v>6</v>
      </c>
      <c r="C39" s="8">
        <v>49</v>
      </c>
      <c r="D39" s="8">
        <v>4.4000000000000004</v>
      </c>
    </row>
    <row r="40" spans="1:4" x14ac:dyDescent="0.25">
      <c r="A40" s="23">
        <v>20</v>
      </c>
      <c r="B40" s="8">
        <v>8</v>
      </c>
      <c r="C40" s="8">
        <v>58</v>
      </c>
      <c r="D40" s="8">
        <v>4.2</v>
      </c>
    </row>
    <row r="41" spans="1:4" x14ac:dyDescent="0.25">
      <c r="A41" s="23">
        <v>15</v>
      </c>
      <c r="B41" s="8">
        <v>4</v>
      </c>
      <c r="C41" s="8">
        <v>35</v>
      </c>
      <c r="D41" s="8">
        <v>4.2</v>
      </c>
    </row>
    <row r="42" spans="1:4" x14ac:dyDescent="0.25">
      <c r="A42" s="23">
        <v>20</v>
      </c>
      <c r="B42" s="8">
        <v>10</v>
      </c>
      <c r="C42" s="8">
        <v>41</v>
      </c>
      <c r="D42" s="8">
        <v>4.2</v>
      </c>
    </row>
    <row r="43" spans="1:4" x14ac:dyDescent="0.25">
      <c r="A43" s="23">
        <v>15</v>
      </c>
      <c r="B43" s="8">
        <v>14</v>
      </c>
      <c r="C43" s="8">
        <v>46</v>
      </c>
      <c r="D43" s="8">
        <v>3.8</v>
      </c>
    </row>
    <row r="44" spans="1:4" x14ac:dyDescent="0.25">
      <c r="A44" s="23">
        <v>18</v>
      </c>
      <c r="B44" s="8">
        <v>6</v>
      </c>
      <c r="C44" s="8">
        <v>48</v>
      </c>
      <c r="D44" s="8">
        <v>4.5</v>
      </c>
    </row>
    <row r="45" spans="1:4" x14ac:dyDescent="0.25">
      <c r="A45" s="23">
        <v>18</v>
      </c>
      <c r="B45" s="8">
        <v>8</v>
      </c>
      <c r="C45" s="8">
        <v>30</v>
      </c>
      <c r="D45" s="8">
        <v>4.8</v>
      </c>
    </row>
    <row r="46" spans="1:4" x14ac:dyDescent="0.25">
      <c r="A46" s="23">
        <v>20</v>
      </c>
      <c r="B46" s="8">
        <v>10</v>
      </c>
      <c r="C46" s="8">
        <v>51</v>
      </c>
      <c r="D46" s="8">
        <v>4.4000000000000004</v>
      </c>
    </row>
    <row r="47" spans="1:4" x14ac:dyDescent="0.25">
      <c r="A47" s="23">
        <v>20</v>
      </c>
      <c r="B47" s="8">
        <v>12</v>
      </c>
      <c r="C47" s="8">
        <v>55</v>
      </c>
      <c r="D47" s="8">
        <v>4.8</v>
      </c>
    </row>
    <row r="48" spans="1:4" x14ac:dyDescent="0.25">
      <c r="A48" s="23">
        <v>20</v>
      </c>
      <c r="B48" s="8">
        <v>4</v>
      </c>
      <c r="C48" s="8">
        <v>59</v>
      </c>
      <c r="D48" s="8">
        <v>3.6</v>
      </c>
    </row>
    <row r="49" spans="1:4" x14ac:dyDescent="0.25">
      <c r="A49" s="23">
        <v>20</v>
      </c>
      <c r="B49" s="8">
        <v>6</v>
      </c>
      <c r="C49" s="8">
        <v>52</v>
      </c>
      <c r="D49" s="8">
        <v>4.5</v>
      </c>
    </row>
    <row r="50" spans="1:4" x14ac:dyDescent="0.25">
      <c r="A50" s="23">
        <v>15</v>
      </c>
      <c r="B50" s="8">
        <v>14</v>
      </c>
      <c r="C50" s="8">
        <v>25</v>
      </c>
      <c r="D50" s="8">
        <v>4.9000000000000004</v>
      </c>
    </row>
    <row r="51" spans="1:4" x14ac:dyDescent="0.25">
      <c r="A51" s="23">
        <v>20</v>
      </c>
      <c r="B51" s="8">
        <v>6</v>
      </c>
      <c r="C51" s="8">
        <v>44</v>
      </c>
      <c r="D51" s="8">
        <v>3.8</v>
      </c>
    </row>
    <row r="52" spans="1:4" x14ac:dyDescent="0.25">
      <c r="A52" s="23">
        <v>18</v>
      </c>
      <c r="B52" s="8">
        <v>8</v>
      </c>
      <c r="C52" s="8">
        <v>49</v>
      </c>
      <c r="D52" s="8">
        <v>4.4000000000000004</v>
      </c>
    </row>
    <row r="53" spans="1:4" x14ac:dyDescent="0.25">
      <c r="A53" s="23">
        <v>20</v>
      </c>
      <c r="B53" s="8">
        <v>10</v>
      </c>
      <c r="C53" s="8">
        <v>54</v>
      </c>
      <c r="D53" s="8">
        <v>4.2</v>
      </c>
    </row>
    <row r="54" spans="1:4" x14ac:dyDescent="0.25">
      <c r="A54" s="23">
        <v>15</v>
      </c>
      <c r="B54" s="8">
        <v>12</v>
      </c>
      <c r="C54" s="8">
        <v>38</v>
      </c>
      <c r="D54" s="8">
        <v>4.2</v>
      </c>
    </row>
    <row r="55" spans="1:4" x14ac:dyDescent="0.25">
      <c r="A55" s="23">
        <v>18</v>
      </c>
      <c r="B55" s="8">
        <v>4</v>
      </c>
      <c r="C55" s="8">
        <v>27</v>
      </c>
      <c r="D55" s="8">
        <v>4.2</v>
      </c>
    </row>
    <row r="56" spans="1:4" x14ac:dyDescent="0.25">
      <c r="A56" s="23">
        <v>15</v>
      </c>
      <c r="B56" s="8">
        <v>6</v>
      </c>
      <c r="C56" s="8">
        <v>56</v>
      </c>
      <c r="D56" s="8">
        <v>4.8</v>
      </c>
    </row>
    <row r="57" spans="1:4" x14ac:dyDescent="0.25">
      <c r="A57" s="23">
        <v>15</v>
      </c>
      <c r="B57" s="8">
        <v>10</v>
      </c>
      <c r="C57" s="8">
        <v>33</v>
      </c>
      <c r="D57" s="8">
        <v>4.4000000000000004</v>
      </c>
    </row>
    <row r="58" spans="1:4" x14ac:dyDescent="0.25">
      <c r="A58" s="23">
        <v>20</v>
      </c>
      <c r="B58" s="8">
        <v>4</v>
      </c>
      <c r="C58" s="8">
        <v>48</v>
      </c>
      <c r="D58" s="8">
        <v>4.8</v>
      </c>
    </row>
    <row r="59" spans="1:4" x14ac:dyDescent="0.25">
      <c r="A59" s="23">
        <v>20</v>
      </c>
      <c r="B59" s="8">
        <v>8</v>
      </c>
      <c r="C59" s="8">
        <v>37</v>
      </c>
      <c r="D59" s="8">
        <v>3.6</v>
      </c>
    </row>
    <row r="60" spans="1:4" x14ac:dyDescent="0.25">
      <c r="A60" s="23">
        <v>20</v>
      </c>
      <c r="B60" s="8">
        <v>8</v>
      </c>
      <c r="C60" s="8">
        <v>25</v>
      </c>
      <c r="D60" s="8">
        <v>4.5</v>
      </c>
    </row>
    <row r="61" spans="1:4" x14ac:dyDescent="0.25">
      <c r="A61" s="23">
        <v>18</v>
      </c>
      <c r="B61" s="8">
        <v>4</v>
      </c>
      <c r="C61" s="8">
        <v>51</v>
      </c>
      <c r="D61" s="8">
        <v>4.9000000000000004</v>
      </c>
    </row>
    <row r="62" spans="1:4" x14ac:dyDescent="0.25">
      <c r="A62" s="23">
        <v>20</v>
      </c>
      <c r="B62" s="8">
        <v>6</v>
      </c>
      <c r="C62" s="8">
        <v>57</v>
      </c>
      <c r="D62" s="8">
        <v>4.9000000000000004</v>
      </c>
    </row>
    <row r="63" spans="1:4" x14ac:dyDescent="0.25">
      <c r="A63" s="23">
        <v>15</v>
      </c>
      <c r="B63" s="8">
        <v>12</v>
      </c>
      <c r="C63" s="8">
        <v>54</v>
      </c>
      <c r="D63" s="8">
        <v>3.8</v>
      </c>
    </row>
    <row r="64" spans="1:4" x14ac:dyDescent="0.25">
      <c r="A64" s="23">
        <v>20</v>
      </c>
      <c r="B64" s="10">
        <v>14</v>
      </c>
      <c r="C64" s="8">
        <v>33</v>
      </c>
      <c r="D64" s="8">
        <v>4.4000000000000004</v>
      </c>
    </row>
    <row r="65" spans="1:4" x14ac:dyDescent="0.25">
      <c r="A65" s="23">
        <v>20</v>
      </c>
      <c r="B65" s="8">
        <v>4</v>
      </c>
      <c r="C65" s="8">
        <v>27</v>
      </c>
      <c r="D65" s="8">
        <v>4.2</v>
      </c>
    </row>
    <row r="66" spans="1:4" x14ac:dyDescent="0.25">
      <c r="A66" s="23">
        <v>15</v>
      </c>
      <c r="B66" s="10">
        <v>10</v>
      </c>
      <c r="C66" s="8">
        <v>39</v>
      </c>
      <c r="D66" s="8">
        <v>4.5</v>
      </c>
    </row>
    <row r="67" spans="1:4" x14ac:dyDescent="0.25">
      <c r="A67" s="23">
        <v>20</v>
      </c>
      <c r="B67" s="8">
        <v>8</v>
      </c>
      <c r="C67" s="8">
        <v>27</v>
      </c>
      <c r="D67" s="8">
        <v>4.8</v>
      </c>
    </row>
    <row r="68" spans="1:4" x14ac:dyDescent="0.25">
      <c r="A68" s="23">
        <v>15</v>
      </c>
      <c r="B68" s="10">
        <v>6</v>
      </c>
      <c r="C68" s="8">
        <v>45</v>
      </c>
      <c r="D68" s="8">
        <v>4.4000000000000004</v>
      </c>
    </row>
    <row r="69" spans="1:4" x14ac:dyDescent="0.25">
      <c r="A69" s="23">
        <v>15</v>
      </c>
      <c r="B69" s="8">
        <v>4</v>
      </c>
      <c r="C69" s="8">
        <v>47</v>
      </c>
      <c r="D69" s="8">
        <v>4.8</v>
      </c>
    </row>
    <row r="70" spans="1:4" x14ac:dyDescent="0.25">
      <c r="A70" s="23">
        <v>15</v>
      </c>
      <c r="B70" s="8">
        <v>8</v>
      </c>
      <c r="C70" s="8">
        <v>51</v>
      </c>
      <c r="D70" s="8">
        <v>3.6</v>
      </c>
    </row>
    <row r="71" spans="1:4" x14ac:dyDescent="0.25">
      <c r="A71" s="23">
        <v>15</v>
      </c>
      <c r="B71" s="8">
        <v>12</v>
      </c>
      <c r="C71" s="8">
        <v>32</v>
      </c>
      <c r="D71" s="8">
        <v>4.5</v>
      </c>
    </row>
    <row r="72" spans="1:4" x14ac:dyDescent="0.25">
      <c r="A72" s="23">
        <v>18</v>
      </c>
      <c r="B72" s="8">
        <v>4</v>
      </c>
      <c r="C72" s="8">
        <v>32</v>
      </c>
      <c r="D72" s="8">
        <v>4.9000000000000004</v>
      </c>
    </row>
    <row r="73" spans="1:4" x14ac:dyDescent="0.25">
      <c r="A73" s="23">
        <v>20</v>
      </c>
      <c r="B73" s="8">
        <v>12</v>
      </c>
      <c r="C73" s="8">
        <v>48</v>
      </c>
      <c r="D73" s="8">
        <v>4.9000000000000004</v>
      </c>
    </row>
    <row r="74" spans="1:4" x14ac:dyDescent="0.25">
      <c r="A74" s="23">
        <v>18</v>
      </c>
      <c r="B74" s="8">
        <v>6</v>
      </c>
      <c r="C74" s="8">
        <v>47</v>
      </c>
      <c r="D74" s="8">
        <v>3.8</v>
      </c>
    </row>
    <row r="75" spans="1:4" x14ac:dyDescent="0.25">
      <c r="A75" s="23">
        <v>18</v>
      </c>
      <c r="B75" s="8">
        <v>14</v>
      </c>
      <c r="C75" s="8">
        <v>37</v>
      </c>
      <c r="D75" s="8">
        <v>3.8</v>
      </c>
    </row>
    <row r="76" spans="1:4" x14ac:dyDescent="0.25">
      <c r="A76" s="23">
        <v>20</v>
      </c>
      <c r="B76" s="8">
        <v>8</v>
      </c>
      <c r="C76" s="8">
        <v>37</v>
      </c>
      <c r="D76" s="8">
        <v>4.4000000000000004</v>
      </c>
    </row>
    <row r="77" spans="1:4" x14ac:dyDescent="0.25">
      <c r="A77" s="23">
        <v>20</v>
      </c>
      <c r="B77" s="8">
        <v>4</v>
      </c>
      <c r="C77" s="8">
        <v>59</v>
      </c>
      <c r="D77" s="8">
        <v>4.2</v>
      </c>
    </row>
    <row r="78" spans="1:4" x14ac:dyDescent="0.25">
      <c r="A78" s="23">
        <v>20</v>
      </c>
      <c r="B78" s="10">
        <v>10</v>
      </c>
      <c r="C78" s="8">
        <v>44</v>
      </c>
      <c r="D78" s="8">
        <v>4.5</v>
      </c>
    </row>
    <row r="79" spans="1:4" x14ac:dyDescent="0.25">
      <c r="A79" s="23">
        <v>15</v>
      </c>
      <c r="B79" s="10">
        <v>8</v>
      </c>
      <c r="C79" s="8">
        <v>49</v>
      </c>
      <c r="D79" s="8">
        <v>4.8</v>
      </c>
    </row>
    <row r="80" spans="1:4" x14ac:dyDescent="0.25">
      <c r="A80" s="23">
        <v>15</v>
      </c>
      <c r="B80" s="10">
        <v>6</v>
      </c>
      <c r="C80" s="8">
        <v>30</v>
      </c>
      <c r="D80" s="8">
        <v>4.4000000000000004</v>
      </c>
    </row>
    <row r="81" spans="1:4" x14ac:dyDescent="0.25">
      <c r="A81" s="23">
        <v>18</v>
      </c>
      <c r="B81" s="10">
        <v>4</v>
      </c>
      <c r="C81" s="8">
        <v>45</v>
      </c>
      <c r="D81" s="8">
        <v>4.8</v>
      </c>
    </row>
    <row r="82" spans="1:4" x14ac:dyDescent="0.25">
      <c r="A82" s="23">
        <v>18</v>
      </c>
      <c r="B82" s="8">
        <v>12</v>
      </c>
      <c r="C82" s="8">
        <v>58</v>
      </c>
      <c r="D82" s="8">
        <v>3.6</v>
      </c>
    </row>
    <row r="83" spans="1:4" x14ac:dyDescent="0.25">
      <c r="A83" s="23">
        <v>18</v>
      </c>
      <c r="B83" s="10">
        <v>6</v>
      </c>
      <c r="C83" s="8">
        <v>51</v>
      </c>
      <c r="D83" s="8">
        <v>4.5</v>
      </c>
    </row>
    <row r="84" spans="1:4" x14ac:dyDescent="0.25">
      <c r="A84" s="23">
        <v>20</v>
      </c>
      <c r="B84" s="10">
        <v>14</v>
      </c>
      <c r="C84" s="8">
        <v>48</v>
      </c>
      <c r="D84" s="8">
        <v>4.9000000000000004</v>
      </c>
    </row>
    <row r="85" spans="1:4" x14ac:dyDescent="0.25">
      <c r="A85" s="23">
        <v>20</v>
      </c>
      <c r="B85" s="10">
        <v>6</v>
      </c>
      <c r="C85" s="8">
        <v>41</v>
      </c>
      <c r="D85" s="8">
        <v>3.8</v>
      </c>
    </row>
    <row r="86" spans="1:4" x14ac:dyDescent="0.25">
      <c r="A86" s="23">
        <v>20</v>
      </c>
      <c r="B86" s="10">
        <v>8</v>
      </c>
      <c r="C86" s="8">
        <v>42</v>
      </c>
      <c r="D86" s="8">
        <v>4.4000000000000004</v>
      </c>
    </row>
    <row r="87" spans="1:4" x14ac:dyDescent="0.25">
      <c r="A87" s="23">
        <v>18</v>
      </c>
      <c r="B87" s="10">
        <v>10</v>
      </c>
      <c r="C87" s="8">
        <v>58</v>
      </c>
      <c r="D87" s="8">
        <v>4.2</v>
      </c>
    </row>
    <row r="88" spans="1:4" x14ac:dyDescent="0.25">
      <c r="A88" s="23">
        <v>20</v>
      </c>
      <c r="B88" s="10">
        <v>6</v>
      </c>
      <c r="C88" s="8">
        <v>46</v>
      </c>
      <c r="D88" s="8">
        <v>4.2</v>
      </c>
    </row>
    <row r="89" spans="1:4" x14ac:dyDescent="0.25">
      <c r="A89" s="23">
        <v>15</v>
      </c>
      <c r="B89" s="8">
        <v>8</v>
      </c>
      <c r="C89" s="8">
        <v>50</v>
      </c>
      <c r="D89" s="8">
        <v>4.2</v>
      </c>
    </row>
    <row r="90" spans="1:4" x14ac:dyDescent="0.25">
      <c r="A90" s="23">
        <v>18</v>
      </c>
      <c r="B90" s="10">
        <v>6</v>
      </c>
      <c r="C90" s="8">
        <v>60</v>
      </c>
      <c r="D90" s="8">
        <v>3.8</v>
      </c>
    </row>
    <row r="91" spans="1:4" x14ac:dyDescent="0.25">
      <c r="A91" s="23">
        <v>20</v>
      </c>
      <c r="B91" s="8">
        <v>12</v>
      </c>
      <c r="C91" s="8">
        <v>55</v>
      </c>
      <c r="D91" s="8">
        <v>4.5</v>
      </c>
    </row>
    <row r="92" spans="1:4" x14ac:dyDescent="0.25">
      <c r="A92" s="23">
        <v>18</v>
      </c>
      <c r="B92" s="10">
        <v>4</v>
      </c>
      <c r="C92" s="8">
        <v>55</v>
      </c>
      <c r="D92" s="8">
        <v>4.8</v>
      </c>
    </row>
    <row r="93" spans="1:4" x14ac:dyDescent="0.25">
      <c r="A93" s="23">
        <v>15</v>
      </c>
      <c r="B93" s="10">
        <v>14</v>
      </c>
      <c r="C93" s="8">
        <v>30</v>
      </c>
      <c r="D93" s="8">
        <v>4.4000000000000004</v>
      </c>
    </row>
    <row r="94" spans="1:4" x14ac:dyDescent="0.25">
      <c r="A94" s="23">
        <v>15</v>
      </c>
      <c r="B94" s="8">
        <v>8</v>
      </c>
      <c r="C94" s="8">
        <v>37</v>
      </c>
      <c r="D94" s="8">
        <v>4.8</v>
      </c>
    </row>
    <row r="95" spans="1:4" x14ac:dyDescent="0.25">
      <c r="A95" s="23">
        <v>18</v>
      </c>
      <c r="B95" s="10">
        <v>12</v>
      </c>
      <c r="C95" s="8">
        <v>38</v>
      </c>
      <c r="D95" s="8">
        <v>3.6</v>
      </c>
    </row>
    <row r="96" spans="1:4" x14ac:dyDescent="0.25">
      <c r="A96" s="23">
        <v>20</v>
      </c>
      <c r="B96" s="10">
        <v>8</v>
      </c>
      <c r="C96" s="8">
        <v>33</v>
      </c>
      <c r="D96" s="8">
        <v>4.5</v>
      </c>
    </row>
    <row r="97" spans="1:4" x14ac:dyDescent="0.25">
      <c r="A97" s="23">
        <v>20</v>
      </c>
      <c r="B97" s="10">
        <v>4</v>
      </c>
      <c r="C97" s="8">
        <v>28</v>
      </c>
      <c r="D97" s="8">
        <v>4.9000000000000004</v>
      </c>
    </row>
    <row r="98" spans="1:4" x14ac:dyDescent="0.25">
      <c r="A98" s="23">
        <v>20</v>
      </c>
      <c r="B98" s="10">
        <v>10</v>
      </c>
      <c r="C98" s="8">
        <v>26</v>
      </c>
      <c r="D98" s="8">
        <v>4.9000000000000004</v>
      </c>
    </row>
    <row r="99" spans="1:4" x14ac:dyDescent="0.25">
      <c r="A99" s="23">
        <v>15</v>
      </c>
      <c r="B99" s="8">
        <v>12</v>
      </c>
      <c r="C99" s="8">
        <v>54</v>
      </c>
      <c r="D99" s="8">
        <v>3.8</v>
      </c>
    </row>
    <row r="100" spans="1:4" x14ac:dyDescent="0.25">
      <c r="A100" s="23">
        <v>20</v>
      </c>
      <c r="B100" s="10">
        <v>8</v>
      </c>
      <c r="C100" s="8">
        <v>25</v>
      </c>
      <c r="D100" s="8">
        <v>4.4000000000000004</v>
      </c>
    </row>
    <row r="101" spans="1:4" x14ac:dyDescent="0.25">
      <c r="A101" s="23">
        <v>20</v>
      </c>
      <c r="B101" s="10">
        <v>6</v>
      </c>
      <c r="C101" s="8">
        <v>38</v>
      </c>
      <c r="D101" s="8">
        <v>4.2</v>
      </c>
    </row>
    <row r="102" spans="1:4" x14ac:dyDescent="0.25">
      <c r="A102" s="23">
        <v>20</v>
      </c>
      <c r="B102" s="8">
        <v>12</v>
      </c>
      <c r="C102" s="8">
        <v>31</v>
      </c>
      <c r="D102" s="8">
        <v>4.5</v>
      </c>
    </row>
    <row r="103" spans="1:4" x14ac:dyDescent="0.25">
      <c r="A103" s="23">
        <v>15</v>
      </c>
      <c r="B103" s="10">
        <v>4</v>
      </c>
      <c r="C103" s="8">
        <v>49</v>
      </c>
      <c r="D103" s="8">
        <v>4.8</v>
      </c>
    </row>
    <row r="104" spans="1:4" x14ac:dyDescent="0.25">
      <c r="A104" s="23">
        <v>18</v>
      </c>
      <c r="B104" s="10">
        <v>10</v>
      </c>
      <c r="C104" s="8">
        <v>32</v>
      </c>
      <c r="D104" s="8">
        <v>4.4000000000000004</v>
      </c>
    </row>
    <row r="105" spans="1:4" x14ac:dyDescent="0.25">
      <c r="A105" s="23">
        <v>15</v>
      </c>
      <c r="B105" s="8">
        <v>12</v>
      </c>
      <c r="C105" s="8">
        <v>60</v>
      </c>
      <c r="D105" s="8">
        <v>4.8</v>
      </c>
    </row>
    <row r="106" spans="1:4" x14ac:dyDescent="0.25">
      <c r="A106" s="23">
        <v>15</v>
      </c>
      <c r="B106" s="10">
        <v>6</v>
      </c>
      <c r="C106" s="8">
        <v>28</v>
      </c>
      <c r="D106" s="8">
        <v>3.6</v>
      </c>
    </row>
    <row r="107" spans="1:4" x14ac:dyDescent="0.25">
      <c r="A107" s="23">
        <v>15</v>
      </c>
      <c r="B107" s="10">
        <v>8</v>
      </c>
      <c r="C107" s="8">
        <v>48</v>
      </c>
      <c r="D107" s="8">
        <v>4.5</v>
      </c>
    </row>
    <row r="108" spans="1:4" x14ac:dyDescent="0.25">
      <c r="A108" s="23">
        <v>15</v>
      </c>
      <c r="B108" s="10">
        <v>4</v>
      </c>
      <c r="C108" s="8">
        <v>53</v>
      </c>
      <c r="D108" s="8">
        <v>4.9000000000000004</v>
      </c>
    </row>
    <row r="109" spans="1:4" x14ac:dyDescent="0.25">
      <c r="A109" s="23">
        <v>15</v>
      </c>
      <c r="B109" s="8">
        <v>8</v>
      </c>
      <c r="C109" s="8">
        <v>40</v>
      </c>
      <c r="D109" s="8">
        <v>4.9000000000000004</v>
      </c>
    </row>
    <row r="110" spans="1:4" x14ac:dyDescent="0.25">
      <c r="A110" s="23">
        <v>20</v>
      </c>
      <c r="B110" s="10">
        <v>10</v>
      </c>
      <c r="C110" s="8">
        <v>58</v>
      </c>
      <c r="D110" s="8">
        <v>3.8</v>
      </c>
    </row>
    <row r="111" spans="1:4" x14ac:dyDescent="0.25">
      <c r="A111" s="23">
        <v>15</v>
      </c>
      <c r="B111" s="10">
        <v>14</v>
      </c>
      <c r="C111" s="8">
        <v>44</v>
      </c>
      <c r="D111" s="8">
        <v>4.4000000000000004</v>
      </c>
    </row>
    <row r="112" spans="1:4" x14ac:dyDescent="0.25">
      <c r="A112" s="23">
        <v>20</v>
      </c>
      <c r="B112" s="10">
        <v>4</v>
      </c>
      <c r="C112" s="8">
        <v>33</v>
      </c>
      <c r="D112" s="8">
        <v>4.2</v>
      </c>
    </row>
    <row r="113" spans="1:4" x14ac:dyDescent="0.25">
      <c r="A113" s="23">
        <v>20</v>
      </c>
      <c r="B113" s="10">
        <v>6</v>
      </c>
      <c r="C113" s="8">
        <v>46</v>
      </c>
      <c r="D113" s="8">
        <v>4.5</v>
      </c>
    </row>
    <row r="114" spans="1:4" x14ac:dyDescent="0.25">
      <c r="A114" s="23">
        <v>18</v>
      </c>
      <c r="B114" s="10">
        <v>8</v>
      </c>
      <c r="C114" s="8">
        <v>35</v>
      </c>
      <c r="D114" s="8">
        <v>4.8</v>
      </c>
    </row>
    <row r="115" spans="1:4" x14ac:dyDescent="0.25">
      <c r="A115" s="23">
        <v>20</v>
      </c>
      <c r="B115" s="10">
        <v>6</v>
      </c>
      <c r="C115" s="8">
        <v>47</v>
      </c>
      <c r="D115" s="8">
        <v>4.4000000000000004</v>
      </c>
    </row>
    <row r="116" spans="1:4" x14ac:dyDescent="0.25">
      <c r="A116" s="23">
        <v>15</v>
      </c>
      <c r="B116" s="8">
        <v>12</v>
      </c>
      <c r="C116" s="8">
        <v>33</v>
      </c>
      <c r="D116" s="8">
        <v>4.8</v>
      </c>
    </row>
    <row r="117" spans="1:4" x14ac:dyDescent="0.25">
      <c r="A117" s="23">
        <v>20</v>
      </c>
      <c r="B117" s="10">
        <v>14</v>
      </c>
      <c r="C117" s="8">
        <v>43</v>
      </c>
      <c r="D117" s="8">
        <v>4.5</v>
      </c>
    </row>
    <row r="118" spans="1:4" x14ac:dyDescent="0.25">
      <c r="A118" s="23">
        <v>15</v>
      </c>
      <c r="B118" s="8">
        <v>8</v>
      </c>
      <c r="C118" s="8">
        <v>42</v>
      </c>
      <c r="D118" s="8">
        <v>4.9000000000000004</v>
      </c>
    </row>
    <row r="119" spans="1:4" x14ac:dyDescent="0.25">
      <c r="A119" s="23">
        <v>15</v>
      </c>
      <c r="B119" s="10">
        <v>4</v>
      </c>
      <c r="C119" s="8">
        <v>39</v>
      </c>
      <c r="D119" s="8">
        <v>4.9000000000000004</v>
      </c>
    </row>
    <row r="120" spans="1:4" x14ac:dyDescent="0.25">
      <c r="A120" s="23">
        <v>18</v>
      </c>
      <c r="B120" s="10">
        <v>6</v>
      </c>
      <c r="C120" s="8">
        <v>31</v>
      </c>
      <c r="D120" s="8">
        <v>4.4000000000000004</v>
      </c>
    </row>
    <row r="121" spans="1:4" x14ac:dyDescent="0.25">
      <c r="A121" s="23">
        <v>18</v>
      </c>
      <c r="B121" s="10">
        <v>14</v>
      </c>
      <c r="C121" s="8">
        <v>57</v>
      </c>
      <c r="D121" s="8">
        <v>4.2</v>
      </c>
    </row>
    <row r="122" spans="1:4" x14ac:dyDescent="0.25">
      <c r="A122" s="23">
        <v>15</v>
      </c>
      <c r="B122" s="10">
        <v>10</v>
      </c>
      <c r="C122" s="8">
        <v>38</v>
      </c>
      <c r="D122" s="8">
        <v>4.5</v>
      </c>
    </row>
    <row r="123" spans="1:4" x14ac:dyDescent="0.25">
      <c r="A123" s="23">
        <v>15</v>
      </c>
      <c r="B123" s="10">
        <v>4</v>
      </c>
      <c r="C123" s="8">
        <v>35</v>
      </c>
      <c r="D123" s="8">
        <v>4.8</v>
      </c>
    </row>
    <row r="124" spans="1:4" x14ac:dyDescent="0.25">
      <c r="A124" s="23">
        <v>20</v>
      </c>
      <c r="B124" s="10">
        <v>6</v>
      </c>
      <c r="C124" s="8">
        <v>56</v>
      </c>
      <c r="D124" s="8">
        <v>4.4000000000000004</v>
      </c>
    </row>
    <row r="125" spans="1:4" x14ac:dyDescent="0.25">
      <c r="A125" s="23">
        <v>20</v>
      </c>
      <c r="B125" s="8">
        <v>8</v>
      </c>
      <c r="C125" s="8">
        <v>58</v>
      </c>
      <c r="D125" s="8">
        <v>4.8</v>
      </c>
    </row>
    <row r="126" spans="1:4" x14ac:dyDescent="0.25">
      <c r="A126" s="14">
        <v>2192</v>
      </c>
      <c r="C126" s="15">
        <v>5247</v>
      </c>
      <c r="D126" s="3"/>
    </row>
    <row r="127" spans="1:4" x14ac:dyDescent="0.25">
      <c r="B127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Clasificador de productos</vt:lpstr>
      <vt:lpstr>TABLA DISTR. FRECU.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2025-10-24T14:15:53Z</dcterms:created>
  <dcterms:modified xsi:type="dcterms:W3CDTF">2025-11-07T19:36:49Z</dcterms:modified>
</cp:coreProperties>
</file>